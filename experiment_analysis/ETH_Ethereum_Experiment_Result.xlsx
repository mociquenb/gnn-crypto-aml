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STUDY\00 KULIAH MALAYA\PROJECT\P2\GITHUB\EXPERIMENT_ANALYSIS\"/>
    </mc:Choice>
  </mc:AlternateContent>
  <xr:revisionPtr revIDLastSave="0" documentId="13_ncr:1_{EFB2BD9C-F11D-4709-B9D2-52AA799B754F}" xr6:coauthVersionLast="47" xr6:coauthVersionMax="47" xr10:uidLastSave="{00000000-0000-0000-0000-000000000000}"/>
  <bookViews>
    <workbookView xWindow="-110" yWindow="-110" windowWidth="19420" windowHeight="11500" activeTab="2" xr2:uid="{5D03FC03-32C2-447D-B698-094D8567FF71}"/>
  </bookViews>
  <sheets>
    <sheet name="RESULT (FINAL)" sheetId="2" r:id="rId1"/>
    <sheet name="Result (Binary)" sheetId="3" r:id="rId2"/>
    <sheet name="GCN-ETH" sheetId="6" r:id="rId3"/>
    <sheet name="GNN-Classic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5" i="6" l="1"/>
  <c r="I6" i="3"/>
  <c r="I5" i="3"/>
  <c r="I4" i="3"/>
  <c r="I3" i="3"/>
  <c r="I2" i="3"/>
  <c r="I6" i="2"/>
  <c r="I5" i="2"/>
  <c r="I4" i="2"/>
  <c r="I3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305D7F-58AE-406D-BB9E-43A1EF9B9B77}" keepAlive="1" name="Query - eth_binary_metrics" description="Connection to the 'eth_binary_metrics' query in the workbook." type="5" refreshedVersion="8" background="1" saveData="1">
    <dbPr connection="Provider=Microsoft.Mashup.OleDb.1;Data Source=$Workbook$;Location=eth_binary_metrics;Extended Properties=&quot;&quot;" command="SELECT * FROM [eth_binary_metrics]"/>
  </connection>
</connections>
</file>

<file path=xl/sharedStrings.xml><?xml version="1.0" encoding="utf-8"?>
<sst xmlns="http://schemas.openxmlformats.org/spreadsheetml/2006/main" count="533" uniqueCount="108">
  <si>
    <t>Random Forest</t>
  </si>
  <si>
    <t>GCN</t>
  </si>
  <si>
    <t>GAT</t>
  </si>
  <si>
    <t>Contrastive Learning</t>
  </si>
  <si>
    <t>Mutual Learning</t>
  </si>
  <si>
    <t>Accuracy</t>
  </si>
  <si>
    <t>ROC-AUC</t>
  </si>
  <si>
    <t>Precision</t>
  </si>
  <si>
    <t>Recall</t>
  </si>
  <si>
    <t>Loss</t>
  </si>
  <si>
    <t>F1 Score</t>
  </si>
  <si>
    <t>Input Features</t>
  </si>
  <si>
    <t>Total Layer</t>
  </si>
  <si>
    <t>2 GAT</t>
  </si>
  <si>
    <t>Hidden Layer</t>
  </si>
  <si>
    <t>Output</t>
  </si>
  <si>
    <t>Class Prediction</t>
  </si>
  <si>
    <t>Epochs</t>
  </si>
  <si>
    <t>Learning Rate</t>
  </si>
  <si>
    <t>Dropout</t>
  </si>
  <si>
    <t>Weight Decay</t>
  </si>
  <si>
    <t>Early Stopping</t>
  </si>
  <si>
    <t>No</t>
  </si>
  <si>
    <t>Train/Val/Test</t>
  </si>
  <si>
    <t>Others</t>
  </si>
  <si>
    <t>n_estimators=200</t>
  </si>
  <si>
    <t>3 GCN</t>
  </si>
  <si>
    <t>3 GraphSAGE</t>
  </si>
  <si>
    <t>NLLLoss</t>
  </si>
  <si>
    <t>Log Softmax</t>
  </si>
  <si>
    <t>Balanced</t>
  </si>
  <si>
    <t>SUBGRAPH (30000) - Edge Aware</t>
  </si>
  <si>
    <t>Component</t>
  </si>
  <si>
    <t>GNN Backbone</t>
  </si>
  <si>
    <t>–</t>
  </si>
  <si>
    <t>GraphSAGE</t>
  </si>
  <si>
    <t>GAT + GraphSAGE</t>
  </si>
  <si>
    <t>Total GNN Layers</t>
  </si>
  <si>
    <t>2 GAT + 3 GraphSAGE</t>
  </si>
  <si>
    <t>Hidden Dimension</t>
  </si>
  <si>
    <t>Loss Function</t>
  </si>
  <si>
    <t>Training Strategy</t>
  </si>
  <si>
    <t>Supervised</t>
  </si>
  <si>
    <t>Two-stage (Pretrain + Fine-tune)</t>
  </si>
  <si>
    <t>Joint Training</t>
  </si>
  <si>
    <t>Sequential Snapshot Training</t>
  </si>
  <si>
    <t>5000 (pretrain + finetune)</t>
  </si>
  <si>
    <t>5000 (per snapshot)</t>
  </si>
  <si>
    <t>Train / Val / Test</t>
  </si>
  <si>
    <t>Temporal (snapshot-based)</t>
  </si>
  <si>
    <t>Class Weighting</t>
  </si>
  <si>
    <t>Activation</t>
  </si>
  <si>
    <t>ReLU</t>
  </si>
  <si>
    <t>ELU</t>
  </si>
  <si>
    <t>Subgraph (30k), Edge-aware</t>
  </si>
  <si>
    <t>Subgraph (30k), Heads=8</t>
  </si>
  <si>
    <t>Subgraph (30k), mean agg</t>
  </si>
  <si>
    <t>Augmentation + Projection Head</t>
  </si>
  <si>
    <t>Dual Peer Models + KD</t>
  </si>
  <si>
    <t>Quantile-based Snapshots</t>
  </si>
  <si>
    <t>Dynamic GNN</t>
  </si>
  <si>
    <t>Stratified 60:20:20</t>
  </si>
  <si>
    <t>BCEWithLogitLoss</t>
  </si>
  <si>
    <t>BCELL + InfoNCE</t>
  </si>
  <si>
    <t>BCELL + KD Loss</t>
  </si>
  <si>
    <t>sigmoid</t>
  </si>
  <si>
    <t>NLL Loss + KD Loss</t>
  </si>
  <si>
    <t>NLL Loss</t>
  </si>
  <si>
    <t>InfoNCE &amp; CrossEntropy</t>
  </si>
  <si>
    <t>Logits</t>
  </si>
  <si>
    <t>ETHEREUM</t>
  </si>
  <si>
    <t>BASELINE</t>
  </si>
  <si>
    <t>Looks Good</t>
  </si>
  <si>
    <t>BASELINE 2</t>
  </si>
  <si>
    <t>BASELINE 3</t>
  </si>
  <si>
    <t>Experiment</t>
  </si>
  <si>
    <t>2 GCN</t>
  </si>
  <si>
    <t>Focal Loss</t>
  </si>
  <si>
    <t>Yes (stop at 27)</t>
  </si>
  <si>
    <t>Yes (but no stop)</t>
  </si>
  <si>
    <t>Yes (stop at 65)</t>
  </si>
  <si>
    <t>Yes (stop at 25)</t>
  </si>
  <si>
    <t>Yes (stop at 46)</t>
  </si>
  <si>
    <t>Yes (stop at 57)</t>
  </si>
  <si>
    <t>Yes (stop at 56)</t>
  </si>
  <si>
    <t>Yes (stop at 39)</t>
  </si>
  <si>
    <t>Yes (stop at 48)</t>
  </si>
  <si>
    <t>Yes (stop at 89)</t>
  </si>
  <si>
    <t>Class Weight</t>
  </si>
  <si>
    <t>Reduce 90%</t>
  </si>
  <si>
    <t>Reduce 50%</t>
  </si>
  <si>
    <t>Reduce 75%</t>
  </si>
  <si>
    <t>Threshold: 0.4572</t>
  </si>
  <si>
    <t>Graph SMOTE</t>
  </si>
  <si>
    <t>SUBGRAPH (30000)</t>
  </si>
  <si>
    <t>SUBGRAPH (30000)
Threshold Optimal 95%</t>
  </si>
  <si>
    <t>SUBGRAPH (30000)
Threshold Optimal 57.5%</t>
  </si>
  <si>
    <t>SUBGRAPH (30000) - Edge Aware - GraphSMOTE</t>
  </si>
  <si>
    <t xml:space="preserve">SUBGRAPH (30000) - Edge Aware </t>
  </si>
  <si>
    <t>GraphSage*</t>
  </si>
  <si>
    <t>3 GAT</t>
  </si>
  <si>
    <t>2 GraphSAGE</t>
  </si>
  <si>
    <t>Class_Weight</t>
  </si>
  <si>
    <t>Activation Function</t>
  </si>
  <si>
    <t>relu</t>
  </si>
  <si>
    <t>elu</t>
  </si>
  <si>
    <t>SUBGRAPH (30000) - Edge Aware; Heads 8</t>
  </si>
  <si>
    <t>SUBGRAPH (30000) - Edge Aware; aggr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</si>
</sst>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10" fontId="0" fillId="0" borderId="0" xfId="0" applyNumberFormat="1" applyAlignment="1">
      <alignment wrapText="1"/>
    </xf>
    <xf numFmtId="0" fontId="4" fillId="0" borderId="1" xfId="0" applyFont="1" applyBorder="1" applyAlignment="1">
      <alignment vertical="center" wrapText="1"/>
    </xf>
    <xf numFmtId="46" fontId="4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0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22" fontId="4" fillId="2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10" fontId="2" fillId="3" borderId="1" xfId="0" applyNumberFormat="1" applyFont="1" applyFill="1" applyBorder="1" applyAlignment="1">
      <alignment vertical="top" wrapText="1"/>
    </xf>
    <xf numFmtId="10" fontId="2" fillId="4" borderId="1" xfId="0" applyNumberFormat="1" applyFont="1" applyFill="1" applyBorder="1" applyAlignment="1">
      <alignment vertical="top" wrapText="1"/>
    </xf>
    <xf numFmtId="10" fontId="2" fillId="0" borderId="0" xfId="0" applyNumberFormat="1" applyFont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10" fontId="2" fillId="5" borderId="1" xfId="0" applyNumberFormat="1" applyFont="1" applyFill="1" applyBorder="1" applyAlignment="1">
      <alignment vertical="top" wrapText="1"/>
    </xf>
    <xf numFmtId="10" fontId="2" fillId="0" borderId="0" xfId="0" quotePrefix="1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0" fontId="2" fillId="0" borderId="0" xfId="1" applyNumberFormat="1" applyFont="1" applyAlignment="1">
      <alignment vertical="top" wrapText="1"/>
    </xf>
    <xf numFmtId="46" fontId="2" fillId="0" borderId="1" xfId="0" applyNumberFormat="1" applyFont="1" applyBorder="1" applyAlignment="1">
      <alignment vertical="top" wrapText="1"/>
    </xf>
    <xf numFmtId="46" fontId="2" fillId="3" borderId="1" xfId="0" applyNumberFormat="1" applyFont="1" applyFill="1" applyBorder="1" applyAlignment="1">
      <alignment vertical="top" wrapText="1"/>
    </xf>
    <xf numFmtId="46" fontId="2" fillId="4" borderId="1" xfId="0" applyNumberFormat="1" applyFont="1" applyFill="1" applyBorder="1" applyAlignment="1">
      <alignment vertical="top" wrapText="1"/>
    </xf>
    <xf numFmtId="1" fontId="2" fillId="0" borderId="0" xfId="0" applyNumberFormat="1" applyFont="1" applyAlignment="1">
      <alignment vertical="top" wrapText="1"/>
    </xf>
    <xf numFmtId="10" fontId="3" fillId="3" borderId="1" xfId="0" applyNumberFormat="1" applyFont="1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horizontal="right" vertical="center" wrapText="1"/>
    </xf>
    <xf numFmtId="10" fontId="3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10" fontId="2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46" fontId="2" fillId="2" borderId="1" xfId="0" applyNumberFormat="1" applyFont="1" applyFill="1" applyBorder="1" applyAlignment="1">
      <alignment horizontal="right" vertical="top" wrapText="1"/>
    </xf>
    <xf numFmtId="46" fontId="2" fillId="3" borderId="1" xfId="0" applyNumberFormat="1" applyFont="1" applyFill="1" applyBorder="1" applyAlignment="1">
      <alignment horizontal="right" vertical="top"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4524-A349-4FB3-BA09-E162548DBE59}">
  <dimension ref="A1:I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defaultRowHeight="16.5" x14ac:dyDescent="0.45"/>
  <cols>
    <col min="1" max="1" width="18.54296875" style="1" bestFit="1" customWidth="1"/>
    <col min="2" max="8" width="20.6328125" style="1" customWidth="1"/>
  </cols>
  <sheetData>
    <row r="1" spans="1:9" ht="33" x14ac:dyDescent="0.35">
      <c r="A1" s="2" t="s">
        <v>32</v>
      </c>
      <c r="B1" s="2" t="s">
        <v>0</v>
      </c>
      <c r="C1" s="2" t="s">
        <v>1</v>
      </c>
      <c r="D1" s="2" t="s">
        <v>2</v>
      </c>
      <c r="E1" s="2" t="s">
        <v>35</v>
      </c>
      <c r="F1" s="2" t="s">
        <v>3</v>
      </c>
      <c r="G1" s="2" t="s">
        <v>4</v>
      </c>
      <c r="H1" s="2" t="s">
        <v>60</v>
      </c>
      <c r="I1" s="3"/>
    </row>
    <row r="2" spans="1:9" x14ac:dyDescent="0.35">
      <c r="A2" s="4" t="s">
        <v>5</v>
      </c>
      <c r="B2" s="5">
        <v>0.94530000000000003</v>
      </c>
      <c r="C2" s="5">
        <v>0.83989999999999998</v>
      </c>
      <c r="D2" s="5">
        <v>0.92500000000000004</v>
      </c>
      <c r="E2" s="5">
        <v>0.96489999999999998</v>
      </c>
      <c r="F2" s="36">
        <v>0.97219999999999995</v>
      </c>
      <c r="G2" s="37">
        <v>0.96050000000000002</v>
      </c>
      <c r="H2" s="37">
        <v>0.96950000000000003</v>
      </c>
      <c r="I2" s="6">
        <f>MAX(B2:H2)</f>
        <v>0.97219999999999995</v>
      </c>
    </row>
    <row r="3" spans="1:9" x14ac:dyDescent="0.35">
      <c r="A3" s="4" t="s">
        <v>6</v>
      </c>
      <c r="B3" s="5">
        <v>0.94489999999999996</v>
      </c>
      <c r="C3" s="5">
        <v>0.91279999999999994</v>
      </c>
      <c r="D3" s="5">
        <v>0.9385</v>
      </c>
      <c r="E3" s="5">
        <v>0.97270000000000001</v>
      </c>
      <c r="F3" s="37">
        <v>0.96970000000000001</v>
      </c>
      <c r="G3" s="37">
        <v>0.97370000000000001</v>
      </c>
      <c r="H3" s="36">
        <v>0.97440000000000004</v>
      </c>
      <c r="I3" s="6">
        <f>MAX(B3:H3)</f>
        <v>0.97440000000000004</v>
      </c>
    </row>
    <row r="4" spans="1:9" x14ac:dyDescent="0.35">
      <c r="A4" s="4" t="s">
        <v>7</v>
      </c>
      <c r="B4" s="5">
        <v>0.3821</v>
      </c>
      <c r="C4" s="5">
        <v>0.1739</v>
      </c>
      <c r="D4" s="5">
        <v>0.32290000000000002</v>
      </c>
      <c r="E4" s="5">
        <v>0.52810000000000001</v>
      </c>
      <c r="F4" s="36">
        <v>0.59330000000000005</v>
      </c>
      <c r="G4" s="37">
        <v>0.4965</v>
      </c>
      <c r="H4" s="37">
        <v>0.56730000000000003</v>
      </c>
      <c r="I4" s="6">
        <f>MAX(B4:H4)</f>
        <v>0.59330000000000005</v>
      </c>
    </row>
    <row r="5" spans="1:9" x14ac:dyDescent="0.35">
      <c r="A5" s="4" t="s">
        <v>8</v>
      </c>
      <c r="B5" s="5">
        <v>0.66090000000000004</v>
      </c>
      <c r="C5" s="5">
        <v>0.82830000000000004</v>
      </c>
      <c r="D5" s="5">
        <v>0.84119999999999995</v>
      </c>
      <c r="E5" s="5">
        <v>0.92700000000000005</v>
      </c>
      <c r="F5" s="37">
        <v>0.91420000000000001</v>
      </c>
      <c r="G5" s="37">
        <v>0.90990000000000004</v>
      </c>
      <c r="H5" s="36">
        <v>0.92269999999999996</v>
      </c>
      <c r="I5" s="6">
        <f>MAX(B5:H5)</f>
        <v>0.92700000000000005</v>
      </c>
    </row>
    <row r="6" spans="1:9" x14ac:dyDescent="0.35">
      <c r="A6" s="4" t="s">
        <v>10</v>
      </c>
      <c r="B6" s="5">
        <v>0.48430000000000001</v>
      </c>
      <c r="C6" s="5">
        <v>0.28739999999999999</v>
      </c>
      <c r="D6" s="5">
        <v>0.4667</v>
      </c>
      <c r="E6" s="5">
        <v>0.67290000000000005</v>
      </c>
      <c r="F6" s="36">
        <v>0.71989999999999998</v>
      </c>
      <c r="G6" s="37">
        <v>0.64239999999999997</v>
      </c>
      <c r="H6" s="37">
        <v>0.7026</v>
      </c>
      <c r="I6" s="6">
        <f>MAX(B6:H6)</f>
        <v>0.71989999999999998</v>
      </c>
    </row>
    <row r="7" spans="1:9" x14ac:dyDescent="0.35">
      <c r="A7" s="4" t="s">
        <v>11</v>
      </c>
      <c r="B7" s="7">
        <v>17</v>
      </c>
      <c r="C7" s="7">
        <v>17</v>
      </c>
      <c r="D7" s="7">
        <v>17</v>
      </c>
      <c r="E7" s="7">
        <v>17</v>
      </c>
      <c r="F7" s="7">
        <v>17</v>
      </c>
      <c r="G7" s="7">
        <v>17</v>
      </c>
      <c r="H7" s="7">
        <v>17</v>
      </c>
      <c r="I7" s="3"/>
    </row>
    <row r="8" spans="1:9" x14ac:dyDescent="0.35">
      <c r="A8" s="4" t="s">
        <v>33</v>
      </c>
      <c r="B8" s="7" t="s">
        <v>34</v>
      </c>
      <c r="C8" s="7" t="s">
        <v>1</v>
      </c>
      <c r="D8" s="7" t="s">
        <v>2</v>
      </c>
      <c r="E8" s="7" t="s">
        <v>35</v>
      </c>
      <c r="F8" s="7" t="s">
        <v>35</v>
      </c>
      <c r="G8" s="7" t="s">
        <v>36</v>
      </c>
      <c r="H8" s="7" t="s">
        <v>35</v>
      </c>
      <c r="I8" s="3"/>
    </row>
    <row r="9" spans="1:9" x14ac:dyDescent="0.35">
      <c r="A9" s="4" t="s">
        <v>37</v>
      </c>
      <c r="B9" s="7" t="s">
        <v>34</v>
      </c>
      <c r="C9" s="7" t="s">
        <v>26</v>
      </c>
      <c r="D9" s="7" t="s">
        <v>13</v>
      </c>
      <c r="E9" s="7" t="s">
        <v>27</v>
      </c>
      <c r="F9" s="7" t="s">
        <v>27</v>
      </c>
      <c r="G9" s="7" t="s">
        <v>38</v>
      </c>
      <c r="H9" s="7" t="s">
        <v>27</v>
      </c>
      <c r="I9" s="3"/>
    </row>
    <row r="10" spans="1:9" x14ac:dyDescent="0.35">
      <c r="A10" s="4" t="s">
        <v>39</v>
      </c>
      <c r="B10" s="7" t="s">
        <v>34</v>
      </c>
      <c r="C10" s="7">
        <v>128</v>
      </c>
      <c r="D10" s="7">
        <v>128</v>
      </c>
      <c r="E10" s="7">
        <v>128</v>
      </c>
      <c r="F10" s="7">
        <v>128</v>
      </c>
      <c r="G10" s="7">
        <v>128</v>
      </c>
      <c r="H10" s="7">
        <v>128</v>
      </c>
      <c r="I10" s="3"/>
    </row>
    <row r="11" spans="1:9" ht="33" x14ac:dyDescent="0.35">
      <c r="A11" s="4" t="s">
        <v>40</v>
      </c>
      <c r="B11" s="7" t="s">
        <v>34</v>
      </c>
      <c r="C11" s="7" t="s">
        <v>67</v>
      </c>
      <c r="D11" s="7" t="s">
        <v>67</v>
      </c>
      <c r="E11" s="7" t="s">
        <v>67</v>
      </c>
      <c r="F11" s="7" t="s">
        <v>68</v>
      </c>
      <c r="G11" s="7" t="s">
        <v>66</v>
      </c>
      <c r="H11" s="7" t="s">
        <v>67</v>
      </c>
      <c r="I11" s="3"/>
    </row>
    <row r="12" spans="1:9" x14ac:dyDescent="0.35">
      <c r="A12" s="4" t="s">
        <v>15</v>
      </c>
      <c r="B12" s="7" t="s">
        <v>16</v>
      </c>
      <c r="C12" s="7" t="s">
        <v>29</v>
      </c>
      <c r="D12" s="7" t="s">
        <v>29</v>
      </c>
      <c r="E12" s="7" t="s">
        <v>29</v>
      </c>
      <c r="F12" s="7" t="s">
        <v>69</v>
      </c>
      <c r="G12" s="7" t="s">
        <v>29</v>
      </c>
      <c r="H12" s="7" t="s">
        <v>29</v>
      </c>
      <c r="I12" s="3"/>
    </row>
    <row r="13" spans="1:9" ht="33" x14ac:dyDescent="0.35">
      <c r="A13" s="4" t="s">
        <v>41</v>
      </c>
      <c r="B13" s="7" t="s">
        <v>42</v>
      </c>
      <c r="C13" s="7" t="s">
        <v>42</v>
      </c>
      <c r="D13" s="7" t="s">
        <v>42</v>
      </c>
      <c r="E13" s="7" t="s">
        <v>42</v>
      </c>
      <c r="F13" s="7" t="s">
        <v>43</v>
      </c>
      <c r="G13" s="7" t="s">
        <v>44</v>
      </c>
      <c r="H13" s="7" t="s">
        <v>45</v>
      </c>
      <c r="I13" s="3"/>
    </row>
    <row r="14" spans="1:9" ht="33" x14ac:dyDescent="0.35">
      <c r="A14" s="4" t="s">
        <v>17</v>
      </c>
      <c r="B14" s="7" t="s">
        <v>34</v>
      </c>
      <c r="C14" s="7">
        <v>5000</v>
      </c>
      <c r="D14" s="7">
        <v>5000</v>
      </c>
      <c r="E14" s="7">
        <v>5000</v>
      </c>
      <c r="F14" s="7" t="s">
        <v>46</v>
      </c>
      <c r="G14" s="7">
        <v>5000</v>
      </c>
      <c r="H14" s="7" t="s">
        <v>47</v>
      </c>
      <c r="I14" s="3"/>
    </row>
    <row r="15" spans="1:9" x14ac:dyDescent="0.35">
      <c r="A15" s="4" t="s">
        <v>18</v>
      </c>
      <c r="B15" s="7" t="s">
        <v>34</v>
      </c>
      <c r="C15" s="7">
        <v>1E-3</v>
      </c>
      <c r="D15" s="7">
        <v>1E-3</v>
      </c>
      <c r="E15" s="7">
        <v>1E-3</v>
      </c>
      <c r="F15" s="7">
        <v>1E-3</v>
      </c>
      <c r="G15" s="7">
        <v>1E-3</v>
      </c>
      <c r="H15" s="7">
        <v>1E-3</v>
      </c>
      <c r="I15" s="3"/>
    </row>
    <row r="16" spans="1:9" x14ac:dyDescent="0.35">
      <c r="A16" s="4" t="s">
        <v>19</v>
      </c>
      <c r="B16" s="7" t="s">
        <v>34</v>
      </c>
      <c r="C16" s="7">
        <v>0.5</v>
      </c>
      <c r="D16" s="7">
        <v>0.5</v>
      </c>
      <c r="E16" s="7">
        <v>0.5</v>
      </c>
      <c r="F16" s="7">
        <v>0.5</v>
      </c>
      <c r="G16" s="7">
        <v>0.5</v>
      </c>
      <c r="H16" s="7">
        <v>0.5</v>
      </c>
      <c r="I16" s="3"/>
    </row>
    <row r="17" spans="1:9" x14ac:dyDescent="0.35">
      <c r="A17" s="4" t="s">
        <v>20</v>
      </c>
      <c r="B17" s="7" t="s">
        <v>34</v>
      </c>
      <c r="C17" s="7">
        <v>1E-4</v>
      </c>
      <c r="D17" s="7">
        <v>1E-4</v>
      </c>
      <c r="E17" s="7">
        <v>1E-4</v>
      </c>
      <c r="F17" s="7">
        <v>1E-4</v>
      </c>
      <c r="G17" s="7">
        <v>1E-4</v>
      </c>
      <c r="H17" s="7">
        <v>1E-4</v>
      </c>
      <c r="I17" s="3"/>
    </row>
    <row r="18" spans="1:9" x14ac:dyDescent="0.35">
      <c r="A18" s="4" t="s">
        <v>21</v>
      </c>
      <c r="B18" s="7" t="s">
        <v>34</v>
      </c>
      <c r="C18" s="7" t="s">
        <v>22</v>
      </c>
      <c r="D18" s="7" t="s">
        <v>22</v>
      </c>
      <c r="E18" s="7" t="s">
        <v>22</v>
      </c>
      <c r="F18" s="7" t="s">
        <v>22</v>
      </c>
      <c r="G18" s="7" t="s">
        <v>22</v>
      </c>
      <c r="H18" s="7" t="s">
        <v>22</v>
      </c>
      <c r="I18" s="3"/>
    </row>
    <row r="19" spans="1:9" ht="33" x14ac:dyDescent="0.35">
      <c r="A19" s="4" t="s">
        <v>48</v>
      </c>
      <c r="B19" s="8">
        <v>2.5141203703703705</v>
      </c>
      <c r="C19" s="8">
        <v>2.5141203703703705</v>
      </c>
      <c r="D19" s="8">
        <v>2.5141203703703705</v>
      </c>
      <c r="E19" s="8">
        <v>2.5141203703703705</v>
      </c>
      <c r="F19" s="8">
        <v>2.5141203703703705</v>
      </c>
      <c r="G19" s="8">
        <v>2.5141203703703705</v>
      </c>
      <c r="H19" s="7" t="s">
        <v>49</v>
      </c>
      <c r="I19" s="3"/>
    </row>
    <row r="20" spans="1:9" x14ac:dyDescent="0.35">
      <c r="A20" s="4" t="s">
        <v>50</v>
      </c>
      <c r="B20" s="7" t="s">
        <v>34</v>
      </c>
      <c r="C20" s="7" t="s">
        <v>30</v>
      </c>
      <c r="D20" s="7" t="s">
        <v>30</v>
      </c>
      <c r="E20" s="7" t="s">
        <v>30</v>
      </c>
      <c r="F20" s="7" t="s">
        <v>30</v>
      </c>
      <c r="G20" s="7" t="s">
        <v>30</v>
      </c>
      <c r="H20" s="7" t="s">
        <v>30</v>
      </c>
      <c r="I20" s="3"/>
    </row>
    <row r="21" spans="1:9" x14ac:dyDescent="0.35">
      <c r="A21" s="4" t="s">
        <v>51</v>
      </c>
      <c r="B21" s="7" t="s">
        <v>34</v>
      </c>
      <c r="C21" s="7" t="s">
        <v>52</v>
      </c>
      <c r="D21" s="7" t="s">
        <v>53</v>
      </c>
      <c r="E21" s="7" t="s">
        <v>52</v>
      </c>
      <c r="F21" s="7" t="s">
        <v>52</v>
      </c>
      <c r="G21" s="7" t="s">
        <v>52</v>
      </c>
      <c r="H21" s="7" t="s">
        <v>52</v>
      </c>
      <c r="I21" s="3"/>
    </row>
    <row r="22" spans="1:9" ht="33" x14ac:dyDescent="0.35">
      <c r="A22" s="4" t="s">
        <v>24</v>
      </c>
      <c r="B22" s="7" t="s">
        <v>25</v>
      </c>
      <c r="C22" s="7" t="s">
        <v>54</v>
      </c>
      <c r="D22" s="7" t="s">
        <v>55</v>
      </c>
      <c r="E22" s="7" t="s">
        <v>56</v>
      </c>
      <c r="F22" s="7" t="s">
        <v>57</v>
      </c>
      <c r="G22" s="7" t="s">
        <v>58</v>
      </c>
      <c r="H22" s="7" t="s">
        <v>59</v>
      </c>
      <c r="I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5C1A-B78E-4F9C-A438-A5147FABF8A8}">
  <dimension ref="A1:I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defaultRowHeight="16.5" x14ac:dyDescent="0.45"/>
  <cols>
    <col min="1" max="1" width="18.54296875" style="1" bestFit="1" customWidth="1"/>
    <col min="2" max="8" width="20.6328125" style="1" customWidth="1"/>
  </cols>
  <sheetData>
    <row r="1" spans="1:9" ht="33" x14ac:dyDescent="0.35">
      <c r="A1" s="9" t="s">
        <v>32</v>
      </c>
      <c r="B1" s="9" t="s">
        <v>0</v>
      </c>
      <c r="C1" s="9" t="s">
        <v>1</v>
      </c>
      <c r="D1" s="9" t="s">
        <v>2</v>
      </c>
      <c r="E1" s="9" t="s">
        <v>35</v>
      </c>
      <c r="F1" s="9" t="s">
        <v>3</v>
      </c>
      <c r="G1" s="9" t="s">
        <v>4</v>
      </c>
      <c r="H1" s="9" t="s">
        <v>60</v>
      </c>
      <c r="I1" s="3"/>
    </row>
    <row r="2" spans="1:9" x14ac:dyDescent="0.35">
      <c r="A2" s="10" t="s">
        <v>5</v>
      </c>
      <c r="B2" s="11">
        <v>0.94530000000000003</v>
      </c>
      <c r="C2" s="11">
        <v>0.84219999999999995</v>
      </c>
      <c r="D2" s="11">
        <v>0.87570000000000003</v>
      </c>
      <c r="E2" s="11">
        <v>0.97519999999999996</v>
      </c>
      <c r="F2" s="38">
        <v>0.97270000000000001</v>
      </c>
      <c r="G2" s="38">
        <v>0.97440000000000004</v>
      </c>
      <c r="H2" s="39">
        <v>0.97909999999999997</v>
      </c>
      <c r="I2" s="6">
        <f>MAX(B2:H2)</f>
        <v>0.97909999999999997</v>
      </c>
    </row>
    <row r="3" spans="1:9" x14ac:dyDescent="0.35">
      <c r="A3" s="10" t="s">
        <v>6</v>
      </c>
      <c r="B3" s="11">
        <v>0.94489999999999996</v>
      </c>
      <c r="C3" s="11">
        <v>0.91990000000000005</v>
      </c>
      <c r="D3" s="11">
        <v>0.88800000000000001</v>
      </c>
      <c r="E3" s="11">
        <v>0.97309999999999997</v>
      </c>
      <c r="F3" s="38">
        <v>0.97430000000000005</v>
      </c>
      <c r="G3" s="39">
        <v>0.97750000000000004</v>
      </c>
      <c r="H3" s="38">
        <v>0.97689999999999999</v>
      </c>
      <c r="I3" s="6">
        <f>MAX(B3:H3)</f>
        <v>0.97750000000000004</v>
      </c>
    </row>
    <row r="4" spans="1:9" x14ac:dyDescent="0.35">
      <c r="A4" s="10" t="s">
        <v>7</v>
      </c>
      <c r="B4" s="11">
        <v>0.3821</v>
      </c>
      <c r="C4" s="11">
        <v>0.1784</v>
      </c>
      <c r="D4" s="11">
        <v>0.2021</v>
      </c>
      <c r="E4" s="11">
        <v>0.62609999999999999</v>
      </c>
      <c r="F4" s="38">
        <v>0.59830000000000005</v>
      </c>
      <c r="G4" s="38">
        <v>0.61899999999999999</v>
      </c>
      <c r="H4" s="39">
        <v>0.66769999999999996</v>
      </c>
      <c r="I4" s="6">
        <f>MAX(B4:H4)</f>
        <v>0.66769999999999996</v>
      </c>
    </row>
    <row r="5" spans="1:9" x14ac:dyDescent="0.35">
      <c r="A5" s="10" t="s">
        <v>8</v>
      </c>
      <c r="B5" s="11">
        <v>0.66090000000000004</v>
      </c>
      <c r="C5" s="11">
        <v>0.84550000000000003</v>
      </c>
      <c r="D5" s="11">
        <v>0.74250000000000005</v>
      </c>
      <c r="E5" s="11">
        <v>0.90559999999999996</v>
      </c>
      <c r="F5" s="38">
        <v>0.91420000000000001</v>
      </c>
      <c r="G5" s="38">
        <v>0.89270000000000005</v>
      </c>
      <c r="H5" s="39">
        <v>0.92269999999999996</v>
      </c>
      <c r="I5" s="6">
        <f>MAX(B5:H5)</f>
        <v>0.92269999999999996</v>
      </c>
    </row>
    <row r="6" spans="1:9" x14ac:dyDescent="0.35">
      <c r="A6" s="10" t="s">
        <v>10</v>
      </c>
      <c r="B6" s="11">
        <v>0.48430000000000001</v>
      </c>
      <c r="C6" s="11">
        <v>0.29470000000000002</v>
      </c>
      <c r="D6" s="11">
        <v>0.31769999999999998</v>
      </c>
      <c r="E6" s="11">
        <v>0.74039999999999995</v>
      </c>
      <c r="F6" s="38">
        <v>0.72330000000000005</v>
      </c>
      <c r="G6" s="38">
        <v>0.73109999999999997</v>
      </c>
      <c r="H6" s="39">
        <v>0.77480000000000004</v>
      </c>
      <c r="I6" s="6">
        <f>MAX(B6:H6)</f>
        <v>0.77480000000000004</v>
      </c>
    </row>
    <row r="7" spans="1:9" x14ac:dyDescent="0.35">
      <c r="A7" s="10" t="s">
        <v>11</v>
      </c>
      <c r="B7" s="12">
        <v>17</v>
      </c>
      <c r="C7" s="12">
        <v>17</v>
      </c>
      <c r="D7" s="12">
        <v>17</v>
      </c>
      <c r="E7" s="12">
        <v>17</v>
      </c>
      <c r="F7" s="12">
        <v>17</v>
      </c>
      <c r="G7" s="12">
        <v>17</v>
      </c>
      <c r="H7" s="12">
        <v>17</v>
      </c>
      <c r="I7" s="3"/>
    </row>
    <row r="8" spans="1:9" x14ac:dyDescent="0.35">
      <c r="A8" s="10" t="s">
        <v>33</v>
      </c>
      <c r="B8" s="12" t="s">
        <v>34</v>
      </c>
      <c r="C8" s="12" t="s">
        <v>1</v>
      </c>
      <c r="D8" s="12" t="s">
        <v>2</v>
      </c>
      <c r="E8" s="12" t="s">
        <v>35</v>
      </c>
      <c r="F8" s="12" t="s">
        <v>35</v>
      </c>
      <c r="G8" s="12" t="s">
        <v>36</v>
      </c>
      <c r="H8" s="12" t="s">
        <v>35</v>
      </c>
      <c r="I8" s="3"/>
    </row>
    <row r="9" spans="1:9" x14ac:dyDescent="0.35">
      <c r="A9" s="10" t="s">
        <v>37</v>
      </c>
      <c r="B9" s="12" t="s">
        <v>34</v>
      </c>
      <c r="C9" s="12" t="s">
        <v>26</v>
      </c>
      <c r="D9" s="12" t="s">
        <v>13</v>
      </c>
      <c r="E9" s="12" t="s">
        <v>27</v>
      </c>
      <c r="F9" s="12" t="s">
        <v>27</v>
      </c>
      <c r="G9" s="12" t="s">
        <v>38</v>
      </c>
      <c r="H9" s="12" t="s">
        <v>27</v>
      </c>
      <c r="I9" s="3"/>
    </row>
    <row r="10" spans="1:9" x14ac:dyDescent="0.35">
      <c r="A10" s="10" t="s">
        <v>39</v>
      </c>
      <c r="B10" s="12" t="s">
        <v>34</v>
      </c>
      <c r="C10" s="12">
        <v>128</v>
      </c>
      <c r="D10" s="12">
        <v>128</v>
      </c>
      <c r="E10" s="12">
        <v>128</v>
      </c>
      <c r="F10" s="12">
        <v>128</v>
      </c>
      <c r="G10" s="12">
        <v>128</v>
      </c>
      <c r="H10" s="12">
        <v>128</v>
      </c>
      <c r="I10" s="3"/>
    </row>
    <row r="11" spans="1:9" x14ac:dyDescent="0.35">
      <c r="A11" s="10" t="s">
        <v>40</v>
      </c>
      <c r="B11" s="12" t="s">
        <v>34</v>
      </c>
      <c r="C11" s="12" t="s">
        <v>62</v>
      </c>
      <c r="D11" s="12" t="s">
        <v>62</v>
      </c>
      <c r="E11" s="12" t="s">
        <v>62</v>
      </c>
      <c r="F11" s="12" t="s">
        <v>63</v>
      </c>
      <c r="G11" s="12" t="s">
        <v>64</v>
      </c>
      <c r="H11" s="12" t="s">
        <v>62</v>
      </c>
      <c r="I11" s="3"/>
    </row>
    <row r="12" spans="1:9" x14ac:dyDescent="0.35">
      <c r="A12" s="10" t="s">
        <v>15</v>
      </c>
      <c r="B12" s="12" t="s">
        <v>16</v>
      </c>
      <c r="C12" s="12" t="s">
        <v>65</v>
      </c>
      <c r="D12" s="12" t="s">
        <v>65</v>
      </c>
      <c r="E12" s="12" t="s">
        <v>65</v>
      </c>
      <c r="F12" s="12" t="s">
        <v>65</v>
      </c>
      <c r="G12" s="12" t="s">
        <v>65</v>
      </c>
      <c r="H12" s="12" t="s">
        <v>65</v>
      </c>
      <c r="I12" s="3"/>
    </row>
    <row r="13" spans="1:9" ht="33" x14ac:dyDescent="0.35">
      <c r="A13" s="10" t="s">
        <v>41</v>
      </c>
      <c r="B13" s="12" t="s">
        <v>42</v>
      </c>
      <c r="C13" s="12" t="s">
        <v>42</v>
      </c>
      <c r="D13" s="12" t="s">
        <v>42</v>
      </c>
      <c r="E13" s="12" t="s">
        <v>42</v>
      </c>
      <c r="F13" s="12" t="s">
        <v>43</v>
      </c>
      <c r="G13" s="12" t="s">
        <v>44</v>
      </c>
      <c r="H13" s="12" t="s">
        <v>45</v>
      </c>
      <c r="I13" s="3"/>
    </row>
    <row r="14" spans="1:9" ht="33" x14ac:dyDescent="0.35">
      <c r="A14" s="10" t="s">
        <v>17</v>
      </c>
      <c r="B14" s="12" t="s">
        <v>34</v>
      </c>
      <c r="C14" s="12">
        <v>5000</v>
      </c>
      <c r="D14" s="12">
        <v>5000</v>
      </c>
      <c r="E14" s="12">
        <v>5000</v>
      </c>
      <c r="F14" s="12" t="s">
        <v>46</v>
      </c>
      <c r="G14" s="12">
        <v>5000</v>
      </c>
      <c r="H14" s="12" t="s">
        <v>47</v>
      </c>
      <c r="I14" s="3"/>
    </row>
    <row r="15" spans="1:9" x14ac:dyDescent="0.35">
      <c r="A15" s="10" t="s">
        <v>18</v>
      </c>
      <c r="B15" s="12" t="s">
        <v>34</v>
      </c>
      <c r="C15" s="12">
        <v>1E-3</v>
      </c>
      <c r="D15" s="12">
        <v>1E-3</v>
      </c>
      <c r="E15" s="12">
        <v>1E-3</v>
      </c>
      <c r="F15" s="12">
        <v>1E-3</v>
      </c>
      <c r="G15" s="12">
        <v>1E-3</v>
      </c>
      <c r="H15" s="12">
        <v>1E-3</v>
      </c>
      <c r="I15" s="3"/>
    </row>
    <row r="16" spans="1:9" x14ac:dyDescent="0.35">
      <c r="A16" s="10" t="s">
        <v>19</v>
      </c>
      <c r="B16" s="12" t="s">
        <v>34</v>
      </c>
      <c r="C16" s="12">
        <v>0.5</v>
      </c>
      <c r="D16" s="12">
        <v>0.5</v>
      </c>
      <c r="E16" s="12">
        <v>0.5</v>
      </c>
      <c r="F16" s="12">
        <v>0.5</v>
      </c>
      <c r="G16" s="12">
        <v>0.5</v>
      </c>
      <c r="H16" s="12">
        <v>0.5</v>
      </c>
      <c r="I16" s="3"/>
    </row>
    <row r="17" spans="1:9" x14ac:dyDescent="0.35">
      <c r="A17" s="10" t="s">
        <v>20</v>
      </c>
      <c r="B17" s="12" t="s">
        <v>34</v>
      </c>
      <c r="C17" s="12">
        <v>1E-4</v>
      </c>
      <c r="D17" s="12">
        <v>1E-4</v>
      </c>
      <c r="E17" s="12">
        <v>1E-4</v>
      </c>
      <c r="F17" s="12">
        <v>1E-4</v>
      </c>
      <c r="G17" s="12">
        <v>1E-4</v>
      </c>
      <c r="H17" s="12">
        <v>1E-4</v>
      </c>
      <c r="I17" s="3"/>
    </row>
    <row r="18" spans="1:9" x14ac:dyDescent="0.35">
      <c r="A18" s="10" t="s">
        <v>21</v>
      </c>
      <c r="B18" s="12" t="s">
        <v>34</v>
      </c>
      <c r="C18" s="12" t="s">
        <v>22</v>
      </c>
      <c r="D18" s="12" t="s">
        <v>22</v>
      </c>
      <c r="E18" s="12" t="s">
        <v>22</v>
      </c>
      <c r="F18" s="12" t="s">
        <v>22</v>
      </c>
      <c r="G18" s="12" t="s">
        <v>22</v>
      </c>
      <c r="H18" s="12" t="s">
        <v>22</v>
      </c>
      <c r="I18" s="3"/>
    </row>
    <row r="19" spans="1:9" x14ac:dyDescent="0.35">
      <c r="A19" s="10" t="s">
        <v>48</v>
      </c>
      <c r="B19" s="13" t="s">
        <v>61</v>
      </c>
      <c r="C19" s="13" t="s">
        <v>61</v>
      </c>
      <c r="D19" s="13" t="s">
        <v>61</v>
      </c>
      <c r="E19" s="13" t="s">
        <v>61</v>
      </c>
      <c r="F19" s="13" t="s">
        <v>61</v>
      </c>
      <c r="G19" s="13" t="s">
        <v>61</v>
      </c>
      <c r="H19" s="13" t="s">
        <v>61</v>
      </c>
      <c r="I19" s="3"/>
    </row>
    <row r="20" spans="1:9" x14ac:dyDescent="0.35">
      <c r="A20" s="10" t="s">
        <v>50</v>
      </c>
      <c r="B20" s="12" t="s">
        <v>34</v>
      </c>
      <c r="C20" s="12" t="s">
        <v>30</v>
      </c>
      <c r="D20" s="12" t="s">
        <v>30</v>
      </c>
      <c r="E20" s="12" t="s">
        <v>30</v>
      </c>
      <c r="F20" s="12" t="s">
        <v>30</v>
      </c>
      <c r="G20" s="12" t="s">
        <v>30</v>
      </c>
      <c r="H20" s="12" t="s">
        <v>30</v>
      </c>
      <c r="I20" s="3"/>
    </row>
    <row r="21" spans="1:9" x14ac:dyDescent="0.35">
      <c r="A21" s="10" t="s">
        <v>51</v>
      </c>
      <c r="B21" s="12" t="s">
        <v>34</v>
      </c>
      <c r="C21" s="12" t="s">
        <v>52</v>
      </c>
      <c r="D21" s="12" t="s">
        <v>52</v>
      </c>
      <c r="E21" s="12" t="s">
        <v>52</v>
      </c>
      <c r="F21" s="12" t="s">
        <v>52</v>
      </c>
      <c r="G21" s="12" t="s">
        <v>52</v>
      </c>
      <c r="H21" s="12" t="s">
        <v>52</v>
      </c>
      <c r="I21" s="3"/>
    </row>
    <row r="22" spans="1:9" ht="33" x14ac:dyDescent="0.35">
      <c r="A22" s="10" t="s">
        <v>24</v>
      </c>
      <c r="B22" s="12" t="s">
        <v>25</v>
      </c>
      <c r="C22" s="12" t="s">
        <v>54</v>
      </c>
      <c r="D22" s="12" t="s">
        <v>55</v>
      </c>
      <c r="E22" s="12" t="s">
        <v>56</v>
      </c>
      <c r="F22" s="12" t="s">
        <v>57</v>
      </c>
      <c r="G22" s="12" t="s">
        <v>58</v>
      </c>
      <c r="H22" s="12" t="s">
        <v>59</v>
      </c>
      <c r="I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E589-0D54-412D-B5B3-433DC5E66B93}">
  <dimension ref="A2:AT25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.5" x14ac:dyDescent="0.35"/>
  <cols>
    <col min="1" max="1" width="14.7265625" style="15" bestFit="1" customWidth="1"/>
    <col min="2" max="43" width="16.6328125" style="15" customWidth="1"/>
    <col min="44" max="44" width="8.7265625" style="15"/>
    <col min="45" max="45" width="9" style="15" bestFit="1" customWidth="1"/>
    <col min="46" max="46" width="12.26953125" style="15" bestFit="1" customWidth="1"/>
    <col min="47" max="16384" width="8.7265625" style="15"/>
  </cols>
  <sheetData>
    <row r="2" spans="1:46" x14ac:dyDescent="0.35">
      <c r="A2" s="14" t="s">
        <v>70</v>
      </c>
      <c r="I2" s="16" t="s">
        <v>71</v>
      </c>
      <c r="M2" s="16" t="s">
        <v>72</v>
      </c>
      <c r="R2" s="16" t="s">
        <v>72</v>
      </c>
      <c r="Z2" s="16" t="s">
        <v>72</v>
      </c>
      <c r="AB2" s="16" t="s">
        <v>72</v>
      </c>
      <c r="AD2" s="16" t="s">
        <v>72</v>
      </c>
      <c r="AF2" s="16" t="s">
        <v>72</v>
      </c>
      <c r="AG2" s="16" t="s">
        <v>73</v>
      </c>
      <c r="AH2" s="16"/>
      <c r="AI2" s="16"/>
      <c r="AJ2" s="16"/>
      <c r="AK2" s="16" t="s">
        <v>74</v>
      </c>
      <c r="AL2" s="16"/>
      <c r="AM2" s="16"/>
      <c r="AN2" s="16"/>
      <c r="AO2" s="16"/>
      <c r="AP2" s="16"/>
      <c r="AQ2" s="16" t="s">
        <v>74</v>
      </c>
    </row>
    <row r="3" spans="1:46" x14ac:dyDescent="0.35">
      <c r="A3" s="17" t="s">
        <v>75</v>
      </c>
      <c r="B3" s="17">
        <v>0</v>
      </c>
      <c r="C3" s="17">
        <v>1</v>
      </c>
      <c r="D3" s="17">
        <v>2</v>
      </c>
      <c r="E3" s="17">
        <v>3</v>
      </c>
      <c r="F3" s="17">
        <v>4</v>
      </c>
      <c r="G3" s="17">
        <v>5</v>
      </c>
      <c r="H3" s="17">
        <v>6</v>
      </c>
      <c r="I3" s="18">
        <v>7</v>
      </c>
      <c r="J3" s="17">
        <v>8</v>
      </c>
      <c r="K3" s="17">
        <v>9</v>
      </c>
      <c r="L3" s="17">
        <v>10</v>
      </c>
      <c r="M3" s="19">
        <v>11</v>
      </c>
      <c r="N3" s="17">
        <v>12</v>
      </c>
      <c r="O3" s="17">
        <v>13</v>
      </c>
      <c r="P3" s="17">
        <v>14</v>
      </c>
      <c r="Q3" s="17">
        <v>15</v>
      </c>
      <c r="R3" s="19">
        <v>16</v>
      </c>
      <c r="S3" s="17">
        <v>17</v>
      </c>
      <c r="T3" s="17">
        <v>18</v>
      </c>
      <c r="U3" s="17">
        <v>19</v>
      </c>
      <c r="V3" s="17">
        <v>20</v>
      </c>
      <c r="W3" s="17">
        <v>21</v>
      </c>
      <c r="X3" s="17">
        <v>22</v>
      </c>
      <c r="Y3" s="17">
        <v>23</v>
      </c>
      <c r="Z3" s="19">
        <v>24</v>
      </c>
      <c r="AA3" s="17">
        <v>25</v>
      </c>
      <c r="AB3" s="19">
        <v>26</v>
      </c>
      <c r="AC3" s="17">
        <v>27</v>
      </c>
      <c r="AD3" s="19">
        <v>28</v>
      </c>
      <c r="AE3" s="17">
        <v>28</v>
      </c>
      <c r="AF3" s="19">
        <v>29</v>
      </c>
      <c r="AG3" s="18">
        <v>30</v>
      </c>
      <c r="AH3" s="17">
        <v>31</v>
      </c>
      <c r="AI3" s="17">
        <v>32</v>
      </c>
      <c r="AJ3" s="17">
        <v>33</v>
      </c>
      <c r="AK3" s="18">
        <v>34</v>
      </c>
      <c r="AL3" s="17">
        <v>35</v>
      </c>
      <c r="AM3" s="17">
        <v>36</v>
      </c>
      <c r="AN3" s="17">
        <v>37</v>
      </c>
      <c r="AO3" s="17">
        <v>38</v>
      </c>
      <c r="AP3" s="17">
        <v>39</v>
      </c>
      <c r="AQ3" s="18">
        <v>40</v>
      </c>
    </row>
    <row r="4" spans="1:46" x14ac:dyDescent="0.35">
      <c r="A4" s="17" t="s">
        <v>5</v>
      </c>
      <c r="B4" s="20">
        <v>0.99960000000000004</v>
      </c>
      <c r="C4" s="20">
        <v>0.88619999999999999</v>
      </c>
      <c r="D4" s="20">
        <v>0.96189999999999998</v>
      </c>
      <c r="E4" s="20">
        <v>0.99960000000000004</v>
      </c>
      <c r="F4" s="20">
        <v>0.84950000000000003</v>
      </c>
      <c r="G4" s="20">
        <v>2.5600000000000001E-2</v>
      </c>
      <c r="H4" s="20">
        <v>8.0000000000000004E-4</v>
      </c>
      <c r="I4" s="21">
        <v>0.73250000000000004</v>
      </c>
      <c r="J4" s="20">
        <v>0.43969999999999998</v>
      </c>
      <c r="K4" s="20">
        <v>0.65790000000000004</v>
      </c>
      <c r="L4" s="20">
        <v>0.57169999999999999</v>
      </c>
      <c r="M4" s="22">
        <v>0.76980000000000004</v>
      </c>
      <c r="N4" s="20">
        <v>0.70709999999999995</v>
      </c>
      <c r="O4" s="20">
        <v>0.62880000000000003</v>
      </c>
      <c r="P4" s="20">
        <v>0.67430000000000001</v>
      </c>
      <c r="Q4" s="20">
        <v>0.54969999999999997</v>
      </c>
      <c r="R4" s="22">
        <v>0.70779999999999998</v>
      </c>
      <c r="S4" s="20">
        <v>0.62690000000000001</v>
      </c>
      <c r="T4" s="20">
        <v>0.70730000000000004</v>
      </c>
      <c r="U4" s="20">
        <v>0.62729999999999997</v>
      </c>
      <c r="V4" s="20">
        <v>0.76600000000000001</v>
      </c>
      <c r="W4" s="20">
        <v>0.69359999999999999</v>
      </c>
      <c r="X4" s="20">
        <v>0.72309999999999997</v>
      </c>
      <c r="Y4" s="20">
        <v>0.64159999999999995</v>
      </c>
      <c r="Z4" s="22">
        <v>0.88819999999999999</v>
      </c>
      <c r="AA4" s="20">
        <v>0.7954</v>
      </c>
      <c r="AB4" s="22">
        <v>0.88800000000000001</v>
      </c>
      <c r="AC4" s="20">
        <v>0.75</v>
      </c>
      <c r="AD4" s="22">
        <v>0.87560000000000004</v>
      </c>
      <c r="AE4" s="20">
        <v>0.70930000000000004</v>
      </c>
      <c r="AF4" s="22">
        <v>0.90959999999999996</v>
      </c>
      <c r="AG4" s="21">
        <v>0.90310000000000001</v>
      </c>
      <c r="AH4" s="20">
        <v>0.90249999999999997</v>
      </c>
      <c r="AI4" s="20">
        <v>0.95</v>
      </c>
      <c r="AJ4" s="20">
        <v>0.91959999999999997</v>
      </c>
      <c r="AK4" s="21">
        <v>0.84099999999999997</v>
      </c>
      <c r="AL4" s="20">
        <v>0.71489999999999998</v>
      </c>
      <c r="AM4" s="20">
        <v>0.82530000000000003</v>
      </c>
      <c r="AN4" s="20">
        <v>0.70669999999999999</v>
      </c>
      <c r="AO4" s="20">
        <v>0.72040000000000004</v>
      </c>
      <c r="AP4" s="20">
        <v>0.82150000000000001</v>
      </c>
      <c r="AQ4" s="21">
        <v>0.84672021419009369</v>
      </c>
      <c r="AR4" s="23"/>
    </row>
    <row r="5" spans="1:46" x14ac:dyDescent="0.35">
      <c r="A5" s="17" t="s">
        <v>6</v>
      </c>
      <c r="B5" s="20">
        <v>0.1158</v>
      </c>
      <c r="C5" s="20">
        <v>0.85909999999999997</v>
      </c>
      <c r="D5" s="20">
        <v>0.70640000000000003</v>
      </c>
      <c r="E5" s="20">
        <v>0.2409</v>
      </c>
      <c r="F5" s="20">
        <v>0.85909999999999997</v>
      </c>
      <c r="G5" s="20">
        <v>0.89329999999999998</v>
      </c>
      <c r="H5" s="20">
        <v>0.89329999999999998</v>
      </c>
      <c r="I5" s="21">
        <v>0.88439999999999996</v>
      </c>
      <c r="J5" s="20">
        <v>0.88439999999999996</v>
      </c>
      <c r="K5" s="20">
        <v>0.88090000000000002</v>
      </c>
      <c r="L5" s="20">
        <v>0.88090000000000002</v>
      </c>
      <c r="M5" s="22">
        <v>0.86780000000000002</v>
      </c>
      <c r="N5" s="20">
        <v>0.88700000000000001</v>
      </c>
      <c r="O5" s="20">
        <v>0.88700000000000001</v>
      </c>
      <c r="P5" s="20">
        <v>0.88900000000000001</v>
      </c>
      <c r="Q5" s="20">
        <v>0.88900000000000001</v>
      </c>
      <c r="R5" s="22">
        <v>0.88480000000000003</v>
      </c>
      <c r="S5" s="20">
        <v>0.88480000000000003</v>
      </c>
      <c r="T5" s="20">
        <v>0.88500000000000001</v>
      </c>
      <c r="U5" s="20">
        <v>0.88500000000000001</v>
      </c>
      <c r="V5" s="20">
        <v>0.87229999999999996</v>
      </c>
      <c r="W5" s="20">
        <v>0.87229999999999996</v>
      </c>
      <c r="X5" s="20">
        <v>0.88190000000000002</v>
      </c>
      <c r="Y5" s="20">
        <v>0.88190000000000002</v>
      </c>
      <c r="Z5" s="22">
        <v>0.92210000000000003</v>
      </c>
      <c r="AA5" s="20">
        <v>0.87880000000000003</v>
      </c>
      <c r="AB5" s="22">
        <v>0.91649999999999998</v>
      </c>
      <c r="AC5" s="20">
        <v>0.90429999999999999</v>
      </c>
      <c r="AD5" s="22">
        <v>0.93140000000000001</v>
      </c>
      <c r="AE5" s="20">
        <v>0.92149999999999999</v>
      </c>
      <c r="AF5" s="22">
        <v>0.94010000000000005</v>
      </c>
      <c r="AG5" s="21">
        <v>0.93020000000000003</v>
      </c>
      <c r="AH5" s="20">
        <v>0.92979999999999996</v>
      </c>
      <c r="AI5" s="20">
        <v>0.92979999999999996</v>
      </c>
      <c r="AJ5" s="20">
        <v>0.92979999999999996</v>
      </c>
      <c r="AK5" s="21">
        <v>0.91249999999999998</v>
      </c>
      <c r="AL5" s="20">
        <v>0.85189999999999999</v>
      </c>
      <c r="AM5" s="20">
        <v>0.91779999999999995</v>
      </c>
      <c r="AN5" s="20">
        <v>0.88790000000000002</v>
      </c>
      <c r="AO5" s="20">
        <v>0.87970000000000004</v>
      </c>
      <c r="AP5" s="20">
        <v>0.91200000000000003</v>
      </c>
      <c r="AQ5" s="21">
        <v>0.89322324845548107</v>
      </c>
      <c r="AR5" s="23"/>
    </row>
    <row r="6" spans="1:46" x14ac:dyDescent="0.35">
      <c r="A6" s="17" t="s">
        <v>7</v>
      </c>
      <c r="B6" s="20">
        <v>0</v>
      </c>
      <c r="C6" s="20">
        <v>2E-3</v>
      </c>
      <c r="D6" s="20">
        <v>2.3999999999999998E-3</v>
      </c>
      <c r="E6" s="24">
        <v>0</v>
      </c>
      <c r="F6" s="20">
        <v>1.8E-3</v>
      </c>
      <c r="G6" s="20">
        <v>4.0000000000000002E-4</v>
      </c>
      <c r="H6" s="20">
        <v>4.0000000000000002E-4</v>
      </c>
      <c r="I6" s="21">
        <v>1.2999999999999999E-3</v>
      </c>
      <c r="J6" s="20">
        <v>6.9999999999999999E-4</v>
      </c>
      <c r="K6" s="20">
        <v>1.1000000000000001E-3</v>
      </c>
      <c r="L6" s="20">
        <v>8.9999999999999998E-4</v>
      </c>
      <c r="M6" s="22">
        <v>1.5E-3</v>
      </c>
      <c r="N6" s="20">
        <v>1.1999999999999999E-3</v>
      </c>
      <c r="O6" s="20">
        <v>1E-3</v>
      </c>
      <c r="P6" s="20">
        <v>1.1000000000000001E-3</v>
      </c>
      <c r="Q6" s="20">
        <v>8.0000000000000004E-4</v>
      </c>
      <c r="R6" s="22">
        <v>1.1999999999999999E-3</v>
      </c>
      <c r="S6" s="20">
        <v>1E-3</v>
      </c>
      <c r="T6" s="20">
        <v>1.1999999999999999E-3</v>
      </c>
      <c r="U6" s="20">
        <v>1E-3</v>
      </c>
      <c r="V6" s="20">
        <v>1.5E-3</v>
      </c>
      <c r="W6" s="20">
        <v>1.1000000000000001E-3</v>
      </c>
      <c r="X6" s="20">
        <v>1.2999999999999999E-3</v>
      </c>
      <c r="Y6" s="20">
        <v>1E-3</v>
      </c>
      <c r="Z6" s="22">
        <v>3.0000000000000001E-3</v>
      </c>
      <c r="AA6" s="20">
        <v>1.6000000000000001E-3</v>
      </c>
      <c r="AB6" s="22">
        <v>2.8999999999999998E-3</v>
      </c>
      <c r="AC6" s="20">
        <v>1.4E-3</v>
      </c>
      <c r="AD6" s="22">
        <v>2.7000000000000001E-3</v>
      </c>
      <c r="AE6" s="20">
        <v>1.1999999999999999E-3</v>
      </c>
      <c r="AF6" s="22">
        <v>3.8E-3</v>
      </c>
      <c r="AG6" s="21">
        <v>2.7900000000000001E-2</v>
      </c>
      <c r="AH6" s="20">
        <v>2.8199999999999999E-2</v>
      </c>
      <c r="AI6" s="20">
        <v>1.5900000000000001E-2</v>
      </c>
      <c r="AJ6" s="20">
        <v>2.8400000000000002E-2</v>
      </c>
      <c r="AK6" s="21">
        <v>0.17319999999999999</v>
      </c>
      <c r="AL6" s="20">
        <v>0.1026</v>
      </c>
      <c r="AM6" s="20">
        <v>0.1663</v>
      </c>
      <c r="AN6" s="20">
        <v>0.10780000000000001</v>
      </c>
      <c r="AO6" s="20">
        <v>0.11260000000000001</v>
      </c>
      <c r="AP6" s="20">
        <v>0.15989999999999999</v>
      </c>
      <c r="AQ6" s="21">
        <v>0.17568850902184235</v>
      </c>
      <c r="AR6" s="23"/>
    </row>
    <row r="7" spans="1:46" x14ac:dyDescent="0.35">
      <c r="A7" s="17" t="s">
        <v>8</v>
      </c>
      <c r="B7" s="20">
        <v>0</v>
      </c>
      <c r="C7" s="20">
        <v>0.5837</v>
      </c>
      <c r="D7" s="20">
        <v>0.23180000000000001</v>
      </c>
      <c r="E7" s="24">
        <v>0</v>
      </c>
      <c r="F7" s="20">
        <v>0.67379999999999995</v>
      </c>
      <c r="G7" s="20">
        <v>1</v>
      </c>
      <c r="H7" s="20">
        <v>1</v>
      </c>
      <c r="I7" s="21">
        <v>0.89700000000000002</v>
      </c>
      <c r="J7" s="20">
        <v>0.9657</v>
      </c>
      <c r="K7" s="20">
        <v>0.93989999999999996</v>
      </c>
      <c r="L7" s="20">
        <v>0.94850000000000001</v>
      </c>
      <c r="M7" s="22">
        <v>0.85840000000000005</v>
      </c>
      <c r="N7" s="20">
        <v>0.92269999999999996</v>
      </c>
      <c r="O7" s="20">
        <v>0.94850000000000001</v>
      </c>
      <c r="P7" s="20">
        <v>0.93559999999999999</v>
      </c>
      <c r="Q7" s="20">
        <v>0.95709999999999995</v>
      </c>
      <c r="R7" s="22">
        <v>0.91849999999999998</v>
      </c>
      <c r="S7" s="20">
        <v>0.94850000000000001</v>
      </c>
      <c r="T7" s="20">
        <v>0.91849999999999998</v>
      </c>
      <c r="U7" s="20">
        <v>0.94850000000000001</v>
      </c>
      <c r="V7" s="20">
        <v>0.87119999999999997</v>
      </c>
      <c r="W7" s="20">
        <v>0.89700000000000002</v>
      </c>
      <c r="X7" s="20">
        <v>0.90129999999999999</v>
      </c>
      <c r="Y7" s="20">
        <v>0.94850000000000001</v>
      </c>
      <c r="Z7" s="22">
        <v>0.85840000000000005</v>
      </c>
      <c r="AA7" s="20">
        <v>0.83689999999999998</v>
      </c>
      <c r="AB7" s="22">
        <v>0.84119999999999995</v>
      </c>
      <c r="AC7" s="20">
        <v>0.86699999999999999</v>
      </c>
      <c r="AD7" s="22">
        <v>0.86699999999999999</v>
      </c>
      <c r="AE7" s="20">
        <v>0.89270000000000005</v>
      </c>
      <c r="AF7" s="22">
        <v>0.87549999999999994</v>
      </c>
      <c r="AG7" s="21">
        <v>0.89470000000000005</v>
      </c>
      <c r="AH7" s="20">
        <v>0.89470000000000005</v>
      </c>
      <c r="AI7" s="20">
        <v>0.52600000000000002</v>
      </c>
      <c r="AJ7" s="20">
        <v>0.73680000000000001</v>
      </c>
      <c r="AK7" s="21">
        <v>0.8155</v>
      </c>
      <c r="AL7" s="20">
        <v>0.8155</v>
      </c>
      <c r="AM7" s="20">
        <v>0.86699999999999999</v>
      </c>
      <c r="AN7" s="20">
        <v>0.89700000000000002</v>
      </c>
      <c r="AO7" s="20">
        <v>0.89700000000000002</v>
      </c>
      <c r="AP7" s="20">
        <v>0.84119999999999995</v>
      </c>
      <c r="AQ7" s="21">
        <v>0.79399141630901282</v>
      </c>
      <c r="AR7" s="23"/>
    </row>
    <row r="8" spans="1:46" x14ac:dyDescent="0.35">
      <c r="A8" s="17" t="s">
        <v>10</v>
      </c>
      <c r="B8" s="20">
        <v>0</v>
      </c>
      <c r="C8" s="20">
        <v>4.0000000000000001E-3</v>
      </c>
      <c r="D8" s="20">
        <v>4.7000000000000002E-3</v>
      </c>
      <c r="E8" s="24">
        <v>0</v>
      </c>
      <c r="F8" s="20">
        <v>3.5000000000000001E-3</v>
      </c>
      <c r="G8" s="20">
        <v>8.0000000000000004E-4</v>
      </c>
      <c r="H8" s="20">
        <v>8.0000000000000004E-4</v>
      </c>
      <c r="I8" s="21">
        <v>2.5999999999999999E-3</v>
      </c>
      <c r="J8" s="20">
        <v>2.5999999999999999E-3</v>
      </c>
      <c r="K8" s="20">
        <v>2.0999999999999999E-3</v>
      </c>
      <c r="L8" s="20">
        <v>1.6999999999999999E-3</v>
      </c>
      <c r="M8" s="22">
        <v>2.8999999999999998E-3</v>
      </c>
      <c r="N8" s="20">
        <v>2.5000000000000001E-3</v>
      </c>
      <c r="O8" s="20">
        <v>2E-3</v>
      </c>
      <c r="P8" s="20">
        <v>2.2000000000000001E-3</v>
      </c>
      <c r="Q8" s="20">
        <v>1.6999999999999999E-3</v>
      </c>
      <c r="R8" s="22">
        <v>2.5000000000000001E-3</v>
      </c>
      <c r="S8" s="20">
        <v>2E-3</v>
      </c>
      <c r="T8" s="20">
        <v>2.5000000000000001E-3</v>
      </c>
      <c r="U8" s="20">
        <v>2E-3</v>
      </c>
      <c r="V8" s="20">
        <v>2.8999999999999998E-3</v>
      </c>
      <c r="W8" s="20">
        <v>2.3E-3</v>
      </c>
      <c r="X8" s="20">
        <v>2.5000000000000001E-3</v>
      </c>
      <c r="Y8" s="20">
        <v>2.0999999999999999E-3</v>
      </c>
      <c r="Z8" s="22">
        <v>6.0000000000000001E-3</v>
      </c>
      <c r="AA8" s="20">
        <v>3.2000000000000002E-3</v>
      </c>
      <c r="AB8" s="22">
        <v>5.8999999999999999E-3</v>
      </c>
      <c r="AC8" s="20">
        <v>2.7000000000000001E-3</v>
      </c>
      <c r="AD8" s="22">
        <v>5.4000000000000003E-3</v>
      </c>
      <c r="AE8" s="20">
        <v>2.3999999999999998E-3</v>
      </c>
      <c r="AF8" s="22">
        <v>7.4999999999999997E-3</v>
      </c>
      <c r="AG8" s="21">
        <v>5.4100000000000002E-2</v>
      </c>
      <c r="AH8" s="20">
        <v>5.4800000000000001E-2</v>
      </c>
      <c r="AI8" s="20">
        <v>2.4400000000000002E-2</v>
      </c>
      <c r="AJ8" s="20">
        <v>5.4699999999999999E-2</v>
      </c>
      <c r="AK8" s="21">
        <v>0.28570000000000001</v>
      </c>
      <c r="AL8" s="25">
        <v>0.18229999999999999</v>
      </c>
      <c r="AM8" s="20">
        <v>0.27900000000000003</v>
      </c>
      <c r="AN8" s="25">
        <v>0.1925</v>
      </c>
      <c r="AO8" s="25">
        <v>0.2001</v>
      </c>
      <c r="AP8" s="20">
        <v>0.26869999999999999</v>
      </c>
      <c r="AQ8" s="21">
        <v>0.28771384136858474</v>
      </c>
      <c r="AR8" s="23"/>
      <c r="AS8" s="23"/>
      <c r="AT8" s="26"/>
    </row>
    <row r="9" spans="1:46" x14ac:dyDescent="0.35">
      <c r="A9" s="27" t="s">
        <v>11</v>
      </c>
      <c r="B9" s="28">
        <v>17</v>
      </c>
      <c r="C9" s="28">
        <v>17</v>
      </c>
      <c r="D9" s="28">
        <v>17</v>
      </c>
      <c r="E9" s="28">
        <v>17</v>
      </c>
      <c r="F9" s="28">
        <v>17</v>
      </c>
      <c r="G9" s="28">
        <v>17</v>
      </c>
      <c r="H9" s="28">
        <v>17</v>
      </c>
      <c r="I9" s="29">
        <v>17</v>
      </c>
      <c r="J9" s="28">
        <v>17</v>
      </c>
      <c r="K9" s="28">
        <v>17</v>
      </c>
      <c r="L9" s="28">
        <v>17</v>
      </c>
      <c r="M9" s="30">
        <v>17</v>
      </c>
      <c r="N9" s="28">
        <v>17</v>
      </c>
      <c r="O9" s="28">
        <v>17</v>
      </c>
      <c r="P9" s="28">
        <v>17</v>
      </c>
      <c r="Q9" s="28">
        <v>17</v>
      </c>
      <c r="R9" s="30">
        <v>17</v>
      </c>
      <c r="S9" s="28">
        <v>17</v>
      </c>
      <c r="T9" s="28">
        <v>17</v>
      </c>
      <c r="U9" s="28">
        <v>17</v>
      </c>
      <c r="V9" s="28">
        <v>17</v>
      </c>
      <c r="W9" s="28">
        <v>17</v>
      </c>
      <c r="X9" s="28">
        <v>17</v>
      </c>
      <c r="Y9" s="28">
        <v>17</v>
      </c>
      <c r="Z9" s="30">
        <v>17</v>
      </c>
      <c r="AA9" s="28">
        <v>17</v>
      </c>
      <c r="AB9" s="30">
        <v>17</v>
      </c>
      <c r="AC9" s="28">
        <v>17</v>
      </c>
      <c r="AD9" s="30">
        <v>17</v>
      </c>
      <c r="AE9" s="28">
        <v>17</v>
      </c>
      <c r="AF9" s="30">
        <v>17</v>
      </c>
      <c r="AG9" s="29">
        <v>17</v>
      </c>
      <c r="AH9" s="28">
        <v>17</v>
      </c>
      <c r="AI9" s="28">
        <v>17</v>
      </c>
      <c r="AJ9" s="28">
        <v>17</v>
      </c>
      <c r="AK9" s="29">
        <v>17</v>
      </c>
      <c r="AL9" s="28">
        <v>17</v>
      </c>
      <c r="AM9" s="28">
        <v>12</v>
      </c>
      <c r="AN9" s="28">
        <v>6</v>
      </c>
      <c r="AO9" s="28">
        <v>3</v>
      </c>
      <c r="AP9" s="28">
        <v>17</v>
      </c>
      <c r="AQ9" s="29">
        <v>17</v>
      </c>
    </row>
    <row r="10" spans="1:46" x14ac:dyDescent="0.35">
      <c r="A10" s="27" t="s">
        <v>12</v>
      </c>
      <c r="B10" s="28" t="s">
        <v>26</v>
      </c>
      <c r="C10" s="28" t="s">
        <v>26</v>
      </c>
      <c r="D10" s="28" t="s">
        <v>26</v>
      </c>
      <c r="E10" s="28" t="s">
        <v>26</v>
      </c>
      <c r="F10" s="28" t="s">
        <v>26</v>
      </c>
      <c r="G10" s="28" t="s">
        <v>26</v>
      </c>
      <c r="H10" s="28" t="s">
        <v>26</v>
      </c>
      <c r="I10" s="29" t="s">
        <v>26</v>
      </c>
      <c r="J10" s="28" t="s">
        <v>26</v>
      </c>
      <c r="K10" s="28" t="s">
        <v>26</v>
      </c>
      <c r="L10" s="28" t="s">
        <v>26</v>
      </c>
      <c r="M10" s="30" t="s">
        <v>26</v>
      </c>
      <c r="N10" s="28" t="s">
        <v>26</v>
      </c>
      <c r="O10" s="28" t="s">
        <v>26</v>
      </c>
      <c r="P10" s="28" t="s">
        <v>26</v>
      </c>
      <c r="Q10" s="28" t="s">
        <v>26</v>
      </c>
      <c r="R10" s="30" t="s">
        <v>26</v>
      </c>
      <c r="S10" s="28" t="s">
        <v>26</v>
      </c>
      <c r="T10" s="28" t="s">
        <v>26</v>
      </c>
      <c r="U10" s="28" t="s">
        <v>26</v>
      </c>
      <c r="V10" s="28" t="s">
        <v>26</v>
      </c>
      <c r="W10" s="28" t="s">
        <v>26</v>
      </c>
      <c r="X10" s="28" t="s">
        <v>26</v>
      </c>
      <c r="Y10" s="28" t="s">
        <v>26</v>
      </c>
      <c r="Z10" s="30" t="s">
        <v>26</v>
      </c>
      <c r="AA10" s="28" t="s">
        <v>26</v>
      </c>
      <c r="AB10" s="30" t="s">
        <v>26</v>
      </c>
      <c r="AC10" s="28" t="s">
        <v>26</v>
      </c>
      <c r="AD10" s="30" t="s">
        <v>26</v>
      </c>
      <c r="AE10" s="28" t="s">
        <v>26</v>
      </c>
      <c r="AF10" s="30" t="s">
        <v>26</v>
      </c>
      <c r="AG10" s="29" t="s">
        <v>26</v>
      </c>
      <c r="AH10" s="28" t="s">
        <v>26</v>
      </c>
      <c r="AI10" s="28" t="s">
        <v>26</v>
      </c>
      <c r="AJ10" s="28" t="s">
        <v>26</v>
      </c>
      <c r="AK10" s="29" t="s">
        <v>26</v>
      </c>
      <c r="AL10" s="28" t="s">
        <v>26</v>
      </c>
      <c r="AM10" s="28" t="s">
        <v>26</v>
      </c>
      <c r="AN10" s="28" t="s">
        <v>26</v>
      </c>
      <c r="AO10" s="28" t="s">
        <v>26</v>
      </c>
      <c r="AP10" s="28" t="s">
        <v>26</v>
      </c>
      <c r="AQ10" s="29" t="s">
        <v>76</v>
      </c>
    </row>
    <row r="11" spans="1:46" x14ac:dyDescent="0.35">
      <c r="A11" s="27" t="s">
        <v>14</v>
      </c>
      <c r="B11" s="28">
        <v>64</v>
      </c>
      <c r="C11" s="28">
        <v>64</v>
      </c>
      <c r="D11" s="28">
        <v>64</v>
      </c>
      <c r="E11" s="28">
        <v>64</v>
      </c>
      <c r="F11" s="28">
        <v>64</v>
      </c>
      <c r="G11" s="28">
        <v>64</v>
      </c>
      <c r="H11" s="28">
        <v>64</v>
      </c>
      <c r="I11" s="29">
        <v>64</v>
      </c>
      <c r="J11" s="28">
        <v>64</v>
      </c>
      <c r="K11" s="28">
        <v>32</v>
      </c>
      <c r="L11" s="28">
        <v>64</v>
      </c>
      <c r="M11" s="30">
        <v>128</v>
      </c>
      <c r="N11" s="28">
        <v>64</v>
      </c>
      <c r="O11" s="28">
        <v>64</v>
      </c>
      <c r="P11" s="28">
        <v>64</v>
      </c>
      <c r="Q11" s="28">
        <v>64</v>
      </c>
      <c r="R11" s="30">
        <v>64</v>
      </c>
      <c r="S11" s="28">
        <v>64</v>
      </c>
      <c r="T11" s="28">
        <v>64</v>
      </c>
      <c r="U11" s="28">
        <v>64</v>
      </c>
      <c r="V11" s="28">
        <v>64</v>
      </c>
      <c r="W11" s="28">
        <v>64</v>
      </c>
      <c r="X11" s="28">
        <v>64</v>
      </c>
      <c r="Y11" s="28">
        <v>64</v>
      </c>
      <c r="Z11" s="30">
        <v>64</v>
      </c>
      <c r="AA11" s="28">
        <v>64</v>
      </c>
      <c r="AB11" s="30">
        <v>64</v>
      </c>
      <c r="AC11" s="28">
        <v>64</v>
      </c>
      <c r="AD11" s="30">
        <v>64</v>
      </c>
      <c r="AE11" s="28">
        <v>128</v>
      </c>
      <c r="AF11" s="30">
        <v>128</v>
      </c>
      <c r="AG11" s="29">
        <v>128</v>
      </c>
      <c r="AH11" s="28">
        <v>128</v>
      </c>
      <c r="AI11" s="28">
        <v>128</v>
      </c>
      <c r="AJ11" s="28">
        <v>128</v>
      </c>
      <c r="AK11" s="29">
        <v>128</v>
      </c>
      <c r="AL11" s="28">
        <v>128</v>
      </c>
      <c r="AM11" s="28">
        <v>128</v>
      </c>
      <c r="AN11" s="28">
        <v>128</v>
      </c>
      <c r="AO11" s="28">
        <v>128</v>
      </c>
      <c r="AP11" s="28">
        <v>128</v>
      </c>
      <c r="AQ11" s="29">
        <v>128</v>
      </c>
    </row>
    <row r="12" spans="1:46" x14ac:dyDescent="0.35">
      <c r="A12" s="27" t="s">
        <v>9</v>
      </c>
      <c r="B12" s="28" t="s">
        <v>28</v>
      </c>
      <c r="C12" s="28" t="s">
        <v>28</v>
      </c>
      <c r="D12" s="28" t="s">
        <v>28</v>
      </c>
      <c r="E12" s="28" t="s">
        <v>77</v>
      </c>
      <c r="F12" s="28" t="s">
        <v>28</v>
      </c>
      <c r="G12" s="28" t="s">
        <v>28</v>
      </c>
      <c r="H12" s="28" t="s">
        <v>28</v>
      </c>
      <c r="I12" s="29" t="s">
        <v>28</v>
      </c>
      <c r="J12" s="28" t="s">
        <v>28</v>
      </c>
      <c r="K12" s="28" t="s">
        <v>28</v>
      </c>
      <c r="L12" s="28" t="s">
        <v>28</v>
      </c>
      <c r="M12" s="30" t="s">
        <v>28</v>
      </c>
      <c r="N12" s="28" t="s">
        <v>28</v>
      </c>
      <c r="O12" s="28" t="s">
        <v>28</v>
      </c>
      <c r="P12" s="28" t="s">
        <v>28</v>
      </c>
      <c r="Q12" s="28" t="s">
        <v>28</v>
      </c>
      <c r="R12" s="30" t="s">
        <v>28</v>
      </c>
      <c r="S12" s="28" t="s">
        <v>28</v>
      </c>
      <c r="T12" s="28" t="s">
        <v>28</v>
      </c>
      <c r="U12" s="28" t="s">
        <v>28</v>
      </c>
      <c r="V12" s="28" t="s">
        <v>28</v>
      </c>
      <c r="W12" s="28" t="s">
        <v>28</v>
      </c>
      <c r="X12" s="28" t="s">
        <v>28</v>
      </c>
      <c r="Y12" s="28" t="s">
        <v>28</v>
      </c>
      <c r="Z12" s="30" t="s">
        <v>28</v>
      </c>
      <c r="AA12" s="28" t="s">
        <v>28</v>
      </c>
      <c r="AB12" s="30" t="s">
        <v>28</v>
      </c>
      <c r="AC12" s="28" t="s">
        <v>28</v>
      </c>
      <c r="AD12" s="30" t="s">
        <v>28</v>
      </c>
      <c r="AE12" s="28" t="s">
        <v>28</v>
      </c>
      <c r="AF12" s="30" t="s">
        <v>28</v>
      </c>
      <c r="AG12" s="29" t="s">
        <v>28</v>
      </c>
      <c r="AH12" s="28" t="s">
        <v>28</v>
      </c>
      <c r="AI12" s="28" t="s">
        <v>28</v>
      </c>
      <c r="AJ12" s="28" t="s">
        <v>28</v>
      </c>
      <c r="AK12" s="29" t="s">
        <v>28</v>
      </c>
      <c r="AL12" s="28" t="s">
        <v>28</v>
      </c>
      <c r="AM12" s="28" t="s">
        <v>28</v>
      </c>
      <c r="AN12" s="28" t="s">
        <v>28</v>
      </c>
      <c r="AO12" s="28" t="s">
        <v>28</v>
      </c>
      <c r="AP12" s="28" t="s">
        <v>28</v>
      </c>
      <c r="AQ12" s="29" t="s">
        <v>28</v>
      </c>
    </row>
    <row r="13" spans="1:46" x14ac:dyDescent="0.35">
      <c r="A13" s="27" t="s">
        <v>15</v>
      </c>
      <c r="B13" s="28" t="s">
        <v>29</v>
      </c>
      <c r="C13" s="28" t="s">
        <v>29</v>
      </c>
      <c r="D13" s="28" t="s">
        <v>29</v>
      </c>
      <c r="E13" s="28" t="s">
        <v>29</v>
      </c>
      <c r="F13" s="28" t="s">
        <v>29</v>
      </c>
      <c r="G13" s="28" t="s">
        <v>29</v>
      </c>
      <c r="H13" s="28" t="s">
        <v>29</v>
      </c>
      <c r="I13" s="29" t="s">
        <v>29</v>
      </c>
      <c r="J13" s="28" t="s">
        <v>29</v>
      </c>
      <c r="K13" s="28" t="s">
        <v>29</v>
      </c>
      <c r="L13" s="28" t="s">
        <v>29</v>
      </c>
      <c r="M13" s="30" t="s">
        <v>29</v>
      </c>
      <c r="N13" s="28" t="s">
        <v>29</v>
      </c>
      <c r="O13" s="28" t="s">
        <v>29</v>
      </c>
      <c r="P13" s="28" t="s">
        <v>29</v>
      </c>
      <c r="Q13" s="28" t="s">
        <v>29</v>
      </c>
      <c r="R13" s="30" t="s">
        <v>29</v>
      </c>
      <c r="S13" s="28" t="s">
        <v>29</v>
      </c>
      <c r="T13" s="28" t="s">
        <v>29</v>
      </c>
      <c r="U13" s="28" t="s">
        <v>29</v>
      </c>
      <c r="V13" s="28" t="s">
        <v>29</v>
      </c>
      <c r="W13" s="28" t="s">
        <v>29</v>
      </c>
      <c r="X13" s="28" t="s">
        <v>29</v>
      </c>
      <c r="Y13" s="28" t="s">
        <v>29</v>
      </c>
      <c r="Z13" s="30" t="s">
        <v>29</v>
      </c>
      <c r="AA13" s="28" t="s">
        <v>29</v>
      </c>
      <c r="AB13" s="30" t="s">
        <v>29</v>
      </c>
      <c r="AC13" s="28" t="s">
        <v>29</v>
      </c>
      <c r="AD13" s="30" t="s">
        <v>29</v>
      </c>
      <c r="AE13" s="28" t="s">
        <v>29</v>
      </c>
      <c r="AF13" s="30" t="s">
        <v>29</v>
      </c>
      <c r="AG13" s="29" t="s">
        <v>29</v>
      </c>
      <c r="AH13" s="28" t="s">
        <v>29</v>
      </c>
      <c r="AI13" s="28" t="s">
        <v>29</v>
      </c>
      <c r="AJ13" s="28" t="s">
        <v>29</v>
      </c>
      <c r="AK13" s="29" t="s">
        <v>29</v>
      </c>
      <c r="AL13" s="28" t="s">
        <v>29</v>
      </c>
      <c r="AM13" s="28" t="s">
        <v>29</v>
      </c>
      <c r="AN13" s="28" t="s">
        <v>29</v>
      </c>
      <c r="AO13" s="28" t="s">
        <v>29</v>
      </c>
      <c r="AP13" s="28" t="s">
        <v>29</v>
      </c>
      <c r="AQ13" s="29" t="s">
        <v>29</v>
      </c>
    </row>
    <row r="14" spans="1:46" x14ac:dyDescent="0.35">
      <c r="A14" s="27" t="s">
        <v>17</v>
      </c>
      <c r="B14" s="28">
        <v>200</v>
      </c>
      <c r="C14" s="28">
        <v>200</v>
      </c>
      <c r="D14" s="28">
        <v>200</v>
      </c>
      <c r="E14" s="28">
        <v>200</v>
      </c>
      <c r="F14" s="28">
        <v>200</v>
      </c>
      <c r="G14" s="28">
        <v>200</v>
      </c>
      <c r="H14" s="28">
        <v>200</v>
      </c>
      <c r="I14" s="29">
        <v>200</v>
      </c>
      <c r="J14" s="28">
        <v>200</v>
      </c>
      <c r="K14" s="28">
        <v>200</v>
      </c>
      <c r="L14" s="28">
        <v>200</v>
      </c>
      <c r="M14" s="30">
        <v>200</v>
      </c>
      <c r="N14" s="28">
        <v>200</v>
      </c>
      <c r="O14" s="28">
        <v>200</v>
      </c>
      <c r="P14" s="28">
        <v>200</v>
      </c>
      <c r="Q14" s="28">
        <v>200</v>
      </c>
      <c r="R14" s="30">
        <v>200</v>
      </c>
      <c r="S14" s="28">
        <v>200</v>
      </c>
      <c r="T14" s="28">
        <v>200</v>
      </c>
      <c r="U14" s="28">
        <v>200</v>
      </c>
      <c r="V14" s="28">
        <v>200</v>
      </c>
      <c r="W14" s="28">
        <v>200</v>
      </c>
      <c r="X14" s="28">
        <v>200</v>
      </c>
      <c r="Y14" s="28">
        <v>200</v>
      </c>
      <c r="Z14" s="30">
        <v>200</v>
      </c>
      <c r="AA14" s="28">
        <v>500</v>
      </c>
      <c r="AB14" s="30">
        <v>500</v>
      </c>
      <c r="AC14" s="28">
        <v>500</v>
      </c>
      <c r="AD14" s="30">
        <v>500</v>
      </c>
      <c r="AE14" s="28">
        <v>1000</v>
      </c>
      <c r="AF14" s="30">
        <v>1000</v>
      </c>
      <c r="AG14" s="29">
        <v>1000</v>
      </c>
      <c r="AH14" s="28">
        <v>1000</v>
      </c>
      <c r="AI14" s="28">
        <v>1000</v>
      </c>
      <c r="AJ14" s="28">
        <v>1000</v>
      </c>
      <c r="AK14" s="29">
        <v>5000</v>
      </c>
      <c r="AL14" s="28">
        <v>5000</v>
      </c>
      <c r="AM14" s="28">
        <v>5000</v>
      </c>
      <c r="AN14" s="28">
        <v>5000</v>
      </c>
      <c r="AO14" s="28">
        <v>5000</v>
      </c>
      <c r="AP14" s="28">
        <v>5000</v>
      </c>
      <c r="AQ14" s="29">
        <v>5000</v>
      </c>
    </row>
    <row r="15" spans="1:46" x14ac:dyDescent="0.35">
      <c r="A15" s="27" t="s">
        <v>18</v>
      </c>
      <c r="B15" s="28">
        <v>0.01</v>
      </c>
      <c r="C15" s="28">
        <v>0.01</v>
      </c>
      <c r="D15" s="28">
        <v>0.01</v>
      </c>
      <c r="E15" s="28">
        <v>0.01</v>
      </c>
      <c r="F15" s="28">
        <v>0.01</v>
      </c>
      <c r="G15" s="28">
        <v>1E-4</v>
      </c>
      <c r="H15" s="28">
        <v>1E-4</v>
      </c>
      <c r="I15" s="29">
        <v>1E-3</v>
      </c>
      <c r="J15" s="28">
        <v>1E-3</v>
      </c>
      <c r="K15" s="28">
        <v>1E-3</v>
      </c>
      <c r="L15" s="28">
        <v>1E-3</v>
      </c>
      <c r="M15" s="30">
        <v>1E-3</v>
      </c>
      <c r="N15" s="28">
        <v>1E-3</v>
      </c>
      <c r="O15" s="28">
        <v>1E-3</v>
      </c>
      <c r="P15" s="28">
        <v>1E-3</v>
      </c>
      <c r="Q15" s="28">
        <v>1E-3</v>
      </c>
      <c r="R15" s="30">
        <v>1E-3</v>
      </c>
      <c r="S15" s="28">
        <v>1E-3</v>
      </c>
      <c r="T15" s="28">
        <v>1E-3</v>
      </c>
      <c r="U15" s="28">
        <v>1E-3</v>
      </c>
      <c r="V15" s="28">
        <v>1E-3</v>
      </c>
      <c r="W15" s="28">
        <v>1E-3</v>
      </c>
      <c r="X15" s="28">
        <v>1E-3</v>
      </c>
      <c r="Y15" s="28">
        <v>1E-3</v>
      </c>
      <c r="Z15" s="30">
        <v>1E-3</v>
      </c>
      <c r="AA15" s="28">
        <v>1E-3</v>
      </c>
      <c r="AB15" s="30">
        <v>1E-3</v>
      </c>
      <c r="AC15" s="28">
        <v>1E-3</v>
      </c>
      <c r="AD15" s="30">
        <v>1E-3</v>
      </c>
      <c r="AE15" s="28">
        <v>1E-3</v>
      </c>
      <c r="AF15" s="30">
        <v>1E-3</v>
      </c>
      <c r="AG15" s="29">
        <v>1E-3</v>
      </c>
      <c r="AH15" s="28">
        <v>1E-3</v>
      </c>
      <c r="AI15" s="28">
        <v>1E-3</v>
      </c>
      <c r="AJ15" s="28">
        <v>1E-3</v>
      </c>
      <c r="AK15" s="29">
        <v>1E-3</v>
      </c>
      <c r="AL15" s="28">
        <v>1E-3</v>
      </c>
      <c r="AM15" s="28">
        <v>1E-3</v>
      </c>
      <c r="AN15" s="28">
        <v>1E-3</v>
      </c>
      <c r="AO15" s="28">
        <v>1E-3</v>
      </c>
      <c r="AP15" s="28">
        <v>1E-3</v>
      </c>
      <c r="AQ15" s="29">
        <v>1E-3</v>
      </c>
      <c r="AT15" s="31"/>
    </row>
    <row r="16" spans="1:46" x14ac:dyDescent="0.35">
      <c r="A16" s="27" t="s">
        <v>19</v>
      </c>
      <c r="B16" s="28">
        <v>0.5</v>
      </c>
      <c r="C16" s="28">
        <v>0.5</v>
      </c>
      <c r="D16" s="28">
        <v>0.5</v>
      </c>
      <c r="E16" s="28">
        <v>0.5</v>
      </c>
      <c r="F16" s="28">
        <v>0.5</v>
      </c>
      <c r="G16" s="28">
        <v>0.5</v>
      </c>
      <c r="H16" s="28">
        <v>0.5</v>
      </c>
      <c r="I16" s="29">
        <v>0.5</v>
      </c>
      <c r="J16" s="28">
        <v>0.5</v>
      </c>
      <c r="K16" s="28">
        <v>0.5</v>
      </c>
      <c r="L16" s="28">
        <v>0.5</v>
      </c>
      <c r="M16" s="30">
        <v>0.5</v>
      </c>
      <c r="N16" s="28">
        <v>0.3</v>
      </c>
      <c r="O16" s="28">
        <v>0.3</v>
      </c>
      <c r="P16" s="28">
        <v>0.6</v>
      </c>
      <c r="Q16" s="28">
        <v>0.6</v>
      </c>
      <c r="R16" s="30">
        <v>0.5</v>
      </c>
      <c r="S16" s="28">
        <v>0.5</v>
      </c>
      <c r="T16" s="28">
        <v>0.5</v>
      </c>
      <c r="U16" s="28">
        <v>0.5</v>
      </c>
      <c r="V16" s="28">
        <v>0.5</v>
      </c>
      <c r="W16" s="28">
        <v>0.5</v>
      </c>
      <c r="X16" s="28">
        <v>0.5</v>
      </c>
      <c r="Y16" s="28">
        <v>0.5</v>
      </c>
      <c r="Z16" s="30">
        <v>0.5</v>
      </c>
      <c r="AA16" s="28">
        <v>0.5</v>
      </c>
      <c r="AB16" s="30">
        <v>0.5</v>
      </c>
      <c r="AC16" s="28">
        <v>0.5</v>
      </c>
      <c r="AD16" s="30">
        <v>0.5</v>
      </c>
      <c r="AE16" s="28">
        <v>0.5</v>
      </c>
      <c r="AF16" s="30">
        <v>0.5</v>
      </c>
      <c r="AG16" s="29">
        <v>0.5</v>
      </c>
      <c r="AH16" s="28">
        <v>0.5</v>
      </c>
      <c r="AI16" s="28">
        <v>0.5</v>
      </c>
      <c r="AJ16" s="28">
        <v>0.5</v>
      </c>
      <c r="AK16" s="29">
        <v>0.5</v>
      </c>
      <c r="AL16" s="28">
        <v>0.5</v>
      </c>
      <c r="AM16" s="28">
        <v>0.5</v>
      </c>
      <c r="AN16" s="28">
        <v>0.5</v>
      </c>
      <c r="AO16" s="28">
        <v>0.5</v>
      </c>
      <c r="AP16" s="28">
        <v>0.5</v>
      </c>
      <c r="AQ16" s="29">
        <v>0.5</v>
      </c>
    </row>
    <row r="17" spans="1:43" x14ac:dyDescent="0.35">
      <c r="A17" s="27" t="s">
        <v>20</v>
      </c>
      <c r="B17" s="28">
        <v>5.0000000000000001E-4</v>
      </c>
      <c r="C17" s="28">
        <v>5.0000000000000001E-4</v>
      </c>
      <c r="D17" s="28">
        <v>5.0000000000000001E-4</v>
      </c>
      <c r="E17" s="28">
        <v>5.0000000000000001E-4</v>
      </c>
      <c r="F17" s="28">
        <v>5.0000000000000001E-4</v>
      </c>
      <c r="G17" s="28">
        <v>5.0000000000000001E-4</v>
      </c>
      <c r="H17" s="28">
        <v>5.0000000000000001E-4</v>
      </c>
      <c r="I17" s="29">
        <v>5.0000000000000001E-4</v>
      </c>
      <c r="J17" s="28">
        <v>5.0000000000000001E-4</v>
      </c>
      <c r="K17" s="28">
        <v>5.0000000000000001E-4</v>
      </c>
      <c r="L17" s="28">
        <v>5.0000000000000001E-4</v>
      </c>
      <c r="M17" s="30">
        <v>5.0000000000000001E-4</v>
      </c>
      <c r="N17" s="28">
        <v>5.0000000000000001E-4</v>
      </c>
      <c r="O17" s="28">
        <v>5.0000000000000001E-4</v>
      </c>
      <c r="P17" s="28">
        <v>5.0000000000000001E-4</v>
      </c>
      <c r="Q17" s="28">
        <v>5.0000000000000001E-4</v>
      </c>
      <c r="R17" s="30">
        <v>1E-4</v>
      </c>
      <c r="S17" s="28">
        <v>1E-4</v>
      </c>
      <c r="T17" s="28">
        <v>1E-3</v>
      </c>
      <c r="U17" s="28">
        <v>1E-3</v>
      </c>
      <c r="V17" s="28">
        <v>1E-4</v>
      </c>
      <c r="W17" s="28">
        <v>1E-4</v>
      </c>
      <c r="X17" s="28">
        <v>1E-4</v>
      </c>
      <c r="Y17" s="28">
        <v>1E-4</v>
      </c>
      <c r="Z17" s="30">
        <v>1E-4</v>
      </c>
      <c r="AA17" s="28">
        <v>1E-4</v>
      </c>
      <c r="AB17" s="30">
        <v>1E-4</v>
      </c>
      <c r="AC17" s="28">
        <v>1E-4</v>
      </c>
      <c r="AD17" s="30">
        <v>1E-4</v>
      </c>
      <c r="AE17" s="28">
        <v>1E-4</v>
      </c>
      <c r="AF17" s="30">
        <v>1E-4</v>
      </c>
      <c r="AG17" s="29">
        <v>1E-4</v>
      </c>
      <c r="AH17" s="28">
        <v>1E-4</v>
      </c>
      <c r="AI17" s="28">
        <v>1E-4</v>
      </c>
      <c r="AJ17" s="28">
        <v>1E-4</v>
      </c>
      <c r="AK17" s="29">
        <v>1E-4</v>
      </c>
      <c r="AL17" s="28">
        <v>1E-4</v>
      </c>
      <c r="AM17" s="28">
        <v>1E-4</v>
      </c>
      <c r="AN17" s="28">
        <v>1E-4</v>
      </c>
      <c r="AO17" s="28">
        <v>1E-4</v>
      </c>
      <c r="AP17" s="28">
        <v>1E-4</v>
      </c>
      <c r="AQ17" s="29">
        <v>1E-4</v>
      </c>
    </row>
    <row r="18" spans="1:43" x14ac:dyDescent="0.35">
      <c r="A18" s="27" t="s">
        <v>21</v>
      </c>
      <c r="B18" s="28" t="s">
        <v>78</v>
      </c>
      <c r="C18" s="28" t="s">
        <v>78</v>
      </c>
      <c r="D18" s="28" t="s">
        <v>78</v>
      </c>
      <c r="E18" s="28" t="s">
        <v>78</v>
      </c>
      <c r="F18" s="28" t="s">
        <v>78</v>
      </c>
      <c r="G18" s="28" t="s">
        <v>79</v>
      </c>
      <c r="H18" s="28" t="s">
        <v>79</v>
      </c>
      <c r="I18" s="29" t="s">
        <v>80</v>
      </c>
      <c r="J18" s="28" t="s">
        <v>80</v>
      </c>
      <c r="K18" s="28" t="s">
        <v>80</v>
      </c>
      <c r="L18" s="28" t="s">
        <v>80</v>
      </c>
      <c r="M18" s="30" t="s">
        <v>81</v>
      </c>
      <c r="N18" s="28" t="s">
        <v>82</v>
      </c>
      <c r="O18" s="28" t="s">
        <v>82</v>
      </c>
      <c r="P18" s="28" t="s">
        <v>83</v>
      </c>
      <c r="Q18" s="28" t="s">
        <v>83</v>
      </c>
      <c r="R18" s="30" t="s">
        <v>84</v>
      </c>
      <c r="S18" s="28" t="s">
        <v>84</v>
      </c>
      <c r="T18" s="28" t="s">
        <v>83</v>
      </c>
      <c r="U18" s="28" t="s">
        <v>83</v>
      </c>
      <c r="V18" s="28" t="s">
        <v>85</v>
      </c>
      <c r="W18" s="28" t="s">
        <v>85</v>
      </c>
      <c r="X18" s="28" t="s">
        <v>86</v>
      </c>
      <c r="Y18" s="28" t="s">
        <v>86</v>
      </c>
      <c r="Z18" s="30" t="s">
        <v>86</v>
      </c>
      <c r="AA18" s="28" t="s">
        <v>87</v>
      </c>
      <c r="AB18" s="30" t="s">
        <v>87</v>
      </c>
      <c r="AC18" s="28" t="s">
        <v>22</v>
      </c>
      <c r="AD18" s="30" t="s">
        <v>22</v>
      </c>
      <c r="AE18" s="28" t="s">
        <v>22</v>
      </c>
      <c r="AF18" s="30" t="s">
        <v>22</v>
      </c>
      <c r="AG18" s="29" t="s">
        <v>22</v>
      </c>
      <c r="AH18" s="28" t="s">
        <v>22</v>
      </c>
      <c r="AI18" s="28" t="s">
        <v>22</v>
      </c>
      <c r="AJ18" s="28" t="s">
        <v>22</v>
      </c>
      <c r="AK18" s="29" t="s">
        <v>22</v>
      </c>
      <c r="AL18" s="28" t="s">
        <v>22</v>
      </c>
      <c r="AM18" s="28" t="s">
        <v>22</v>
      </c>
      <c r="AN18" s="28" t="s">
        <v>22</v>
      </c>
      <c r="AO18" s="28" t="s">
        <v>22</v>
      </c>
      <c r="AP18" s="28" t="s">
        <v>22</v>
      </c>
      <c r="AQ18" s="29" t="s">
        <v>22</v>
      </c>
    </row>
    <row r="19" spans="1:43" x14ac:dyDescent="0.35">
      <c r="A19" s="27" t="s">
        <v>23</v>
      </c>
      <c r="B19" s="32">
        <v>2.5141203703703705</v>
      </c>
      <c r="C19" s="32">
        <v>2.5141203703703705</v>
      </c>
      <c r="D19" s="32">
        <v>2.5141203703703705</v>
      </c>
      <c r="E19" s="32">
        <v>2.5141203703703705</v>
      </c>
      <c r="F19" s="32">
        <v>2.5141203703703705</v>
      </c>
      <c r="G19" s="32">
        <v>2.5141203703703705</v>
      </c>
      <c r="H19" s="32">
        <v>2.5141203703703705</v>
      </c>
      <c r="I19" s="33">
        <v>2.5141203703703705</v>
      </c>
      <c r="J19" s="32">
        <v>2.5141203703703705</v>
      </c>
      <c r="K19" s="32">
        <v>2.5141203703703705</v>
      </c>
      <c r="L19" s="32">
        <v>2.5141203703703705</v>
      </c>
      <c r="M19" s="34">
        <v>2.5141203703703705</v>
      </c>
      <c r="N19" s="32">
        <v>2.5141203703703705</v>
      </c>
      <c r="O19" s="32">
        <v>2.5141203703703705</v>
      </c>
      <c r="P19" s="32">
        <v>2.5141203703703705</v>
      </c>
      <c r="Q19" s="32">
        <v>2.5141203703703705</v>
      </c>
      <c r="R19" s="34">
        <v>2.5141203703703705</v>
      </c>
      <c r="S19" s="32">
        <v>2.5141203703703705</v>
      </c>
      <c r="T19" s="32">
        <v>2.5141203703703705</v>
      </c>
      <c r="U19" s="32">
        <v>2.5141203703703705</v>
      </c>
      <c r="V19" s="32">
        <v>2.5141203703703705</v>
      </c>
      <c r="W19" s="32">
        <v>2.5141203703703705</v>
      </c>
      <c r="X19" s="32">
        <v>2.5141203703703705</v>
      </c>
      <c r="Y19" s="32">
        <v>2.5141203703703705</v>
      </c>
      <c r="Z19" s="34">
        <v>2.5141203703703705</v>
      </c>
      <c r="AA19" s="32">
        <v>2.5141203703703705</v>
      </c>
      <c r="AB19" s="34">
        <v>2.5141203703703705</v>
      </c>
      <c r="AC19" s="32">
        <v>2.5141203703703705</v>
      </c>
      <c r="AD19" s="34">
        <v>2.5141203703703705</v>
      </c>
      <c r="AE19" s="32">
        <v>2.5141203703703705</v>
      </c>
      <c r="AF19" s="34">
        <v>2.5141203703703705</v>
      </c>
      <c r="AG19" s="33">
        <v>2.5141203703703705</v>
      </c>
      <c r="AH19" s="32">
        <v>2.5141203703703705</v>
      </c>
      <c r="AI19" s="32">
        <v>2.5141203703703705</v>
      </c>
      <c r="AJ19" s="32">
        <v>2.5141203703703705</v>
      </c>
      <c r="AK19" s="33">
        <v>2.5141203703703705</v>
      </c>
      <c r="AL19" s="32">
        <v>2.5141203703703705</v>
      </c>
      <c r="AM19" s="32">
        <v>2.5141203703703705</v>
      </c>
      <c r="AN19" s="32">
        <v>2.5141203703703705</v>
      </c>
      <c r="AO19" s="32">
        <v>2.5141203703703705</v>
      </c>
      <c r="AP19" s="32">
        <v>2.5141203703703705</v>
      </c>
      <c r="AQ19" s="33">
        <v>2.5141203703703705</v>
      </c>
    </row>
    <row r="20" spans="1:43" x14ac:dyDescent="0.35">
      <c r="A20" s="27" t="s">
        <v>88</v>
      </c>
      <c r="B20" s="32"/>
      <c r="C20" s="32" t="s">
        <v>30</v>
      </c>
      <c r="D20" s="32" t="s">
        <v>89</v>
      </c>
      <c r="E20" s="32" t="s">
        <v>89</v>
      </c>
      <c r="F20" s="32" t="s">
        <v>30</v>
      </c>
      <c r="G20" s="32" t="s">
        <v>30</v>
      </c>
      <c r="H20" s="32" t="s">
        <v>30</v>
      </c>
      <c r="I20" s="33" t="s">
        <v>30</v>
      </c>
      <c r="J20" s="32" t="s">
        <v>30</v>
      </c>
      <c r="K20" s="32" t="s">
        <v>30</v>
      </c>
      <c r="L20" s="32" t="s">
        <v>30</v>
      </c>
      <c r="M20" s="34" t="s">
        <v>30</v>
      </c>
      <c r="N20" s="32" t="s">
        <v>30</v>
      </c>
      <c r="O20" s="32" t="s">
        <v>30</v>
      </c>
      <c r="P20" s="32" t="s">
        <v>30</v>
      </c>
      <c r="Q20" s="32" t="s">
        <v>30</v>
      </c>
      <c r="R20" s="34" t="s">
        <v>30</v>
      </c>
      <c r="S20" s="32" t="s">
        <v>30</v>
      </c>
      <c r="T20" s="32" t="s">
        <v>30</v>
      </c>
      <c r="U20" s="32" t="s">
        <v>30</v>
      </c>
      <c r="V20" s="32" t="s">
        <v>90</v>
      </c>
      <c r="W20" s="32" t="s">
        <v>90</v>
      </c>
      <c r="X20" s="32" t="s">
        <v>91</v>
      </c>
      <c r="Y20" s="32" t="s">
        <v>91</v>
      </c>
      <c r="Z20" s="34"/>
      <c r="AA20" s="32" t="s">
        <v>91</v>
      </c>
      <c r="AB20" s="34"/>
      <c r="AC20" s="32" t="s">
        <v>30</v>
      </c>
      <c r="AD20" s="34"/>
      <c r="AE20" s="32" t="s">
        <v>30</v>
      </c>
      <c r="AF20" s="34"/>
      <c r="AG20" s="33" t="s">
        <v>30</v>
      </c>
      <c r="AH20" s="32" t="s">
        <v>30</v>
      </c>
      <c r="AI20" s="32" t="s">
        <v>30</v>
      </c>
      <c r="AJ20" s="32" t="s">
        <v>30</v>
      </c>
      <c r="AK20" s="33" t="s">
        <v>30</v>
      </c>
      <c r="AL20" s="32" t="s">
        <v>30</v>
      </c>
      <c r="AM20" s="32" t="s">
        <v>30</v>
      </c>
      <c r="AN20" s="32" t="s">
        <v>30</v>
      </c>
      <c r="AO20" s="32" t="s">
        <v>30</v>
      </c>
      <c r="AP20" s="32" t="s">
        <v>30</v>
      </c>
      <c r="AQ20" s="33" t="s">
        <v>30</v>
      </c>
    </row>
    <row r="21" spans="1:43" ht="62" x14ac:dyDescent="0.35">
      <c r="A21" s="27" t="s">
        <v>24</v>
      </c>
      <c r="B21" s="28"/>
      <c r="C21" s="28"/>
      <c r="D21" s="28"/>
      <c r="E21" s="28"/>
      <c r="F21" s="28" t="s">
        <v>92</v>
      </c>
      <c r="G21" s="28"/>
      <c r="H21" s="28" t="s">
        <v>92</v>
      </c>
      <c r="I21" s="29"/>
      <c r="J21" s="28" t="s">
        <v>92</v>
      </c>
      <c r="K21" s="28"/>
      <c r="L21" s="28" t="s">
        <v>92</v>
      </c>
      <c r="M21" s="19"/>
      <c r="N21" s="28"/>
      <c r="O21" s="28" t="s">
        <v>92</v>
      </c>
      <c r="P21" s="28"/>
      <c r="Q21" s="28" t="s">
        <v>92</v>
      </c>
      <c r="R21" s="30"/>
      <c r="S21" s="28" t="s">
        <v>92</v>
      </c>
      <c r="T21" s="28"/>
      <c r="U21" s="28" t="s">
        <v>92</v>
      </c>
      <c r="V21" s="28"/>
      <c r="W21" s="28" t="s">
        <v>92</v>
      </c>
      <c r="X21" s="28"/>
      <c r="Y21" s="28" t="s">
        <v>92</v>
      </c>
      <c r="Z21" s="30" t="s">
        <v>93</v>
      </c>
      <c r="AA21" s="28"/>
      <c r="AB21" s="30" t="s">
        <v>93</v>
      </c>
      <c r="AC21" s="28"/>
      <c r="AD21" s="30" t="s">
        <v>93</v>
      </c>
      <c r="AE21" s="28"/>
      <c r="AF21" s="30" t="s">
        <v>93</v>
      </c>
      <c r="AG21" s="29" t="s">
        <v>94</v>
      </c>
      <c r="AH21" s="28" t="s">
        <v>94</v>
      </c>
      <c r="AI21" s="28" t="s">
        <v>95</v>
      </c>
      <c r="AJ21" s="28" t="s">
        <v>96</v>
      </c>
      <c r="AK21" s="29" t="s">
        <v>31</v>
      </c>
      <c r="AL21" s="28" t="s">
        <v>97</v>
      </c>
      <c r="AM21" s="28" t="s">
        <v>98</v>
      </c>
      <c r="AN21" s="28" t="s">
        <v>98</v>
      </c>
      <c r="AO21" s="28" t="s">
        <v>98</v>
      </c>
      <c r="AP21" s="28" t="s">
        <v>98</v>
      </c>
      <c r="AQ21" s="29" t="s">
        <v>98</v>
      </c>
    </row>
    <row r="25" spans="1:43" x14ac:dyDescent="0.35">
      <c r="AH25" s="35">
        <f>AK8/AF8</f>
        <v>38.093333333333334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1054-184D-4661-AF83-97678ADFAD38}">
  <dimension ref="A3:G22"/>
  <sheetViews>
    <sheetView topLeftCell="A9" workbookViewId="0">
      <selection activeCell="D10" sqref="D10"/>
    </sheetView>
  </sheetViews>
  <sheetFormatPr defaultRowHeight="14.5" x14ac:dyDescent="0.35"/>
  <cols>
    <col min="1" max="1" width="20.6328125" customWidth="1"/>
    <col min="2" max="7" width="20.6328125" style="49" customWidth="1"/>
  </cols>
  <sheetData>
    <row r="3" spans="1:7" ht="15" x14ac:dyDescent="0.35">
      <c r="B3" s="40" t="s">
        <v>1</v>
      </c>
      <c r="C3" s="40" t="s">
        <v>2</v>
      </c>
      <c r="D3" s="40" t="s">
        <v>99</v>
      </c>
      <c r="E3" s="40" t="s">
        <v>1</v>
      </c>
      <c r="F3" s="40" t="s">
        <v>2</v>
      </c>
      <c r="G3" s="40" t="s">
        <v>99</v>
      </c>
    </row>
    <row r="4" spans="1:7" ht="15.5" x14ac:dyDescent="0.35">
      <c r="A4" s="41" t="s">
        <v>5</v>
      </c>
      <c r="B4" s="42">
        <v>0.84099999999999997</v>
      </c>
      <c r="C4" s="42">
        <v>0.75149999999999995</v>
      </c>
      <c r="D4" s="21">
        <v>0.97050000000000003</v>
      </c>
      <c r="E4" s="21">
        <v>0.84672021419009369</v>
      </c>
      <c r="F4" s="21">
        <v>0.94695448460508702</v>
      </c>
      <c r="G4" s="42">
        <v>0.96887550200803207</v>
      </c>
    </row>
    <row r="5" spans="1:7" ht="15.5" x14ac:dyDescent="0.35">
      <c r="A5" s="41" t="s">
        <v>6</v>
      </c>
      <c r="B5" s="42">
        <v>0.91249999999999998</v>
      </c>
      <c r="C5" s="42">
        <v>0.88480000000000003</v>
      </c>
      <c r="D5" s="21">
        <v>0.97099999999999997</v>
      </c>
      <c r="E5" s="21">
        <v>0.89322324845548107</v>
      </c>
      <c r="F5" s="21">
        <v>0.94397434009979686</v>
      </c>
      <c r="G5" s="42">
        <v>0.96459021955446422</v>
      </c>
    </row>
    <row r="6" spans="1:7" ht="15.5" x14ac:dyDescent="0.35">
      <c r="A6" s="41" t="s">
        <v>7</v>
      </c>
      <c r="B6" s="42">
        <v>0.17319999999999999</v>
      </c>
      <c r="C6" s="42">
        <v>0.12330000000000001</v>
      </c>
      <c r="D6" s="21">
        <v>0.57720000000000005</v>
      </c>
      <c r="E6" s="21">
        <v>0.17568850902184235</v>
      </c>
      <c r="F6" s="21">
        <v>0.41358024691358025</v>
      </c>
      <c r="G6" s="42">
        <v>0.56135770234986948</v>
      </c>
    </row>
    <row r="7" spans="1:7" ht="15.5" x14ac:dyDescent="0.35">
      <c r="A7" s="41" t="s">
        <v>8</v>
      </c>
      <c r="B7" s="42">
        <v>0.8155</v>
      </c>
      <c r="C7" s="42">
        <v>0.87980000000000003</v>
      </c>
      <c r="D7" s="21">
        <v>0.91420000000000001</v>
      </c>
      <c r="E7" s="21">
        <v>0.79399141630901282</v>
      </c>
      <c r="F7" s="21">
        <v>0.86266094420600858</v>
      </c>
      <c r="G7" s="42">
        <v>0.92274678111587982</v>
      </c>
    </row>
    <row r="8" spans="1:7" ht="15.5" x14ac:dyDescent="0.35">
      <c r="A8" s="41" t="s">
        <v>10</v>
      </c>
      <c r="B8" s="42">
        <v>0.28570000000000001</v>
      </c>
      <c r="C8" s="42">
        <v>0.21640000000000001</v>
      </c>
      <c r="D8" s="21">
        <v>0.70760000000000001</v>
      </c>
      <c r="E8" s="21">
        <v>0.28771384136858474</v>
      </c>
      <c r="F8" s="21">
        <v>0.55910987482614738</v>
      </c>
      <c r="G8" s="42">
        <v>0.69805194805194803</v>
      </c>
    </row>
    <row r="9" spans="1:7" ht="15.5" x14ac:dyDescent="0.35">
      <c r="A9" s="43" t="s">
        <v>11</v>
      </c>
      <c r="B9" s="44">
        <v>17</v>
      </c>
      <c r="C9" s="44">
        <v>17</v>
      </c>
      <c r="D9" s="29">
        <v>17</v>
      </c>
      <c r="E9" s="29">
        <v>17</v>
      </c>
      <c r="F9" s="29">
        <v>17</v>
      </c>
      <c r="G9" s="44">
        <v>17</v>
      </c>
    </row>
    <row r="10" spans="1:7" ht="15.5" x14ac:dyDescent="0.35">
      <c r="A10" s="43" t="s">
        <v>12</v>
      </c>
      <c r="B10" s="45" t="s">
        <v>26</v>
      </c>
      <c r="C10" s="45" t="s">
        <v>100</v>
      </c>
      <c r="D10" s="46" t="s">
        <v>27</v>
      </c>
      <c r="E10" s="46" t="s">
        <v>76</v>
      </c>
      <c r="F10" s="46" t="s">
        <v>13</v>
      </c>
      <c r="G10" s="45" t="s">
        <v>101</v>
      </c>
    </row>
    <row r="11" spans="1:7" ht="15.5" x14ac:dyDescent="0.35">
      <c r="A11" s="43" t="s">
        <v>14</v>
      </c>
      <c r="B11" s="45">
        <v>128</v>
      </c>
      <c r="C11" s="45">
        <v>128</v>
      </c>
      <c r="D11" s="46">
        <v>128</v>
      </c>
      <c r="E11" s="46">
        <v>128</v>
      </c>
      <c r="F11" s="46">
        <v>128</v>
      </c>
      <c r="G11" s="45">
        <v>128</v>
      </c>
    </row>
    <row r="12" spans="1:7" ht="15.5" x14ac:dyDescent="0.35">
      <c r="A12" s="43" t="s">
        <v>9</v>
      </c>
      <c r="B12" s="45" t="s">
        <v>28</v>
      </c>
      <c r="C12" s="45" t="s">
        <v>28</v>
      </c>
      <c r="D12" s="46" t="s">
        <v>28</v>
      </c>
      <c r="E12" s="46" t="s">
        <v>28</v>
      </c>
      <c r="F12" s="46" t="s">
        <v>28</v>
      </c>
      <c r="G12" s="45" t="s">
        <v>28</v>
      </c>
    </row>
    <row r="13" spans="1:7" ht="15.5" x14ac:dyDescent="0.35">
      <c r="A13" s="43" t="s">
        <v>15</v>
      </c>
      <c r="B13" s="45" t="s">
        <v>29</v>
      </c>
      <c r="C13" s="45" t="s">
        <v>29</v>
      </c>
      <c r="D13" s="46" t="s">
        <v>29</v>
      </c>
      <c r="E13" s="46" t="s">
        <v>29</v>
      </c>
      <c r="F13" s="46" t="s">
        <v>29</v>
      </c>
      <c r="G13" s="45" t="s">
        <v>29</v>
      </c>
    </row>
    <row r="14" spans="1:7" ht="15.5" x14ac:dyDescent="0.35">
      <c r="A14" s="43" t="s">
        <v>17</v>
      </c>
      <c r="B14" s="45">
        <v>5000</v>
      </c>
      <c r="C14" s="45">
        <v>5000</v>
      </c>
      <c r="D14" s="46">
        <v>5000</v>
      </c>
      <c r="E14" s="46">
        <v>5000</v>
      </c>
      <c r="F14" s="46">
        <v>5000</v>
      </c>
      <c r="G14" s="45">
        <v>5000</v>
      </c>
    </row>
    <row r="15" spans="1:7" ht="15.5" x14ac:dyDescent="0.35">
      <c r="A15" s="43" t="s">
        <v>18</v>
      </c>
      <c r="B15" s="45">
        <v>1E-3</v>
      </c>
      <c r="C15" s="45">
        <v>1E-3</v>
      </c>
      <c r="D15" s="46">
        <v>1E-3</v>
      </c>
      <c r="E15" s="46">
        <v>1E-3</v>
      </c>
      <c r="F15" s="46">
        <v>1E-3</v>
      </c>
      <c r="G15" s="45">
        <v>1E-3</v>
      </c>
    </row>
    <row r="16" spans="1:7" ht="15.5" x14ac:dyDescent="0.35">
      <c r="A16" s="43" t="s">
        <v>19</v>
      </c>
      <c r="B16" s="45">
        <v>0.5</v>
      </c>
      <c r="C16" s="45">
        <v>0.5</v>
      </c>
      <c r="D16" s="46">
        <v>0.5</v>
      </c>
      <c r="E16" s="46">
        <v>0.5</v>
      </c>
      <c r="F16" s="46">
        <v>0.5</v>
      </c>
      <c r="G16" s="45">
        <v>0.5</v>
      </c>
    </row>
    <row r="17" spans="1:7" ht="15.5" x14ac:dyDescent="0.35">
      <c r="A17" s="43" t="s">
        <v>20</v>
      </c>
      <c r="B17" s="45">
        <v>1E-4</v>
      </c>
      <c r="C17" s="45">
        <v>1E-4</v>
      </c>
      <c r="D17" s="46">
        <v>1E-4</v>
      </c>
      <c r="E17" s="46">
        <v>1E-4</v>
      </c>
      <c r="F17" s="46">
        <v>1E-4</v>
      </c>
      <c r="G17" s="45">
        <v>1E-4</v>
      </c>
    </row>
    <row r="18" spans="1:7" ht="15.5" x14ac:dyDescent="0.35">
      <c r="A18" s="43" t="s">
        <v>21</v>
      </c>
      <c r="B18" s="45" t="s">
        <v>22</v>
      </c>
      <c r="C18" s="45" t="s">
        <v>22</v>
      </c>
      <c r="D18" s="46" t="s">
        <v>22</v>
      </c>
      <c r="E18" s="46" t="s">
        <v>22</v>
      </c>
      <c r="F18" s="46" t="s">
        <v>22</v>
      </c>
      <c r="G18" s="45" t="s">
        <v>22</v>
      </c>
    </row>
    <row r="19" spans="1:7" ht="15.5" x14ac:dyDescent="0.35">
      <c r="A19" s="43" t="s">
        <v>23</v>
      </c>
      <c r="B19" s="47">
        <v>2.5141203703703705</v>
      </c>
      <c r="C19" s="47">
        <v>2.5141203703703705</v>
      </c>
      <c r="D19" s="48">
        <v>2.5141203703703705</v>
      </c>
      <c r="E19" s="48">
        <v>2.5141203703703705</v>
      </c>
      <c r="F19" s="48">
        <v>2.5141203703703705</v>
      </c>
      <c r="G19" s="47">
        <v>2.5141203703703705</v>
      </c>
    </row>
    <row r="20" spans="1:7" ht="15.5" x14ac:dyDescent="0.35">
      <c r="A20" s="43" t="s">
        <v>102</v>
      </c>
      <c r="B20" s="47" t="s">
        <v>30</v>
      </c>
      <c r="C20" s="47" t="s">
        <v>30</v>
      </c>
      <c r="D20" s="48" t="s">
        <v>30</v>
      </c>
      <c r="E20" s="48" t="s">
        <v>30</v>
      </c>
      <c r="F20" s="48" t="s">
        <v>30</v>
      </c>
      <c r="G20" s="47" t="s">
        <v>30</v>
      </c>
    </row>
    <row r="21" spans="1:7" ht="15.5" x14ac:dyDescent="0.35">
      <c r="A21" s="43" t="s">
        <v>103</v>
      </c>
      <c r="B21" s="45" t="s">
        <v>104</v>
      </c>
      <c r="C21" s="47" t="s">
        <v>105</v>
      </c>
      <c r="D21" s="48" t="s">
        <v>104</v>
      </c>
      <c r="E21" s="46" t="s">
        <v>104</v>
      </c>
      <c r="F21" s="48" t="s">
        <v>105</v>
      </c>
      <c r="G21" s="47" t="s">
        <v>104</v>
      </c>
    </row>
    <row r="22" spans="1:7" ht="46.5" x14ac:dyDescent="0.35">
      <c r="A22" s="43" t="s">
        <v>24</v>
      </c>
      <c r="B22" s="45" t="s">
        <v>31</v>
      </c>
      <c r="C22" s="45" t="s">
        <v>106</v>
      </c>
      <c r="D22" s="46" t="s">
        <v>107</v>
      </c>
      <c r="E22" s="46" t="s">
        <v>31</v>
      </c>
      <c r="F22" s="46" t="s">
        <v>106</v>
      </c>
      <c r="G22" s="45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02AD0-2979-43E3-AF6A-46429F2538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(FINAL)</vt:lpstr>
      <vt:lpstr>Result (Binary)</vt:lpstr>
      <vt:lpstr>GCN-ETH</vt:lpstr>
      <vt:lpstr>GNN-Classic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Nohan Bhadrika Ratna Widyastuti</dc:creator>
  <cp:lastModifiedBy>Nohan Bhadrika Ratna Widyastuti</cp:lastModifiedBy>
  <dcterms:created xsi:type="dcterms:W3CDTF">2025-12-21T16:45:21Z</dcterms:created>
  <dcterms:modified xsi:type="dcterms:W3CDTF">2026-01-29T16:46:07Z</dcterms:modified>
</cp:coreProperties>
</file>